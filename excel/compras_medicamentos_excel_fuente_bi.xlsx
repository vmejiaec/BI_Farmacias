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0b1b9ee23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ras_2025_2026" sheetId="1" r:id="Rd565c303bede4082"/>
    <x:sheet xmlns:r="http://schemas.openxmlformats.org/officeDocument/2006/relationships" name="Distribuidores" sheetId="2" r:id="Rda7dd56bedbf42ab"/>
    <x:sheet xmlns:r="http://schemas.openxmlformats.org/officeDocument/2006/relationships" name="Medicamentos_Referencia" sheetId="3" r:id="Re9ce35c79e5a4454"/>
    <x:sheet xmlns:r="http://schemas.openxmlformats.org/officeDocument/2006/relationships" name="Resumen" sheetId="4" r:id="R15a09b4217cf4a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.00"/>
    <x:numFmt numFmtId="202" formatCode="0.00%"/>
    <x:numFmt numFmtId="203" formatCode="#,##0"/>
    <x:numFmt numFmtId="204" formatCode="mmm 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C00000"/>
      </x:font>
    </x:dxf>
    <x:dxf>
      <x:font>
        <x:color rgb="FF008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78fc1df2a480f" /><Relationship Type="http://schemas.openxmlformats.org/officeDocument/2006/relationships/theme" Target="/xl/theme/theme1.xml" Id="R89faf3db08814483" /><Relationship Type="http://schemas.openxmlformats.org/officeDocument/2006/relationships/sharedStrings" Target="/xl/sharedStrings.xml" Id="R4478679437f94b69" /><Relationship Type="http://schemas.openxmlformats.org/officeDocument/2006/relationships/worksheet" Target="/xl/worksheets/sheet1.xml" Id="Rd565c303bede4082" /><Relationship Type="http://schemas.openxmlformats.org/officeDocument/2006/relationships/worksheet" Target="/xl/worksheets/sheet2.xml" Id="Rda7dd56bedbf42ab" /><Relationship Type="http://schemas.openxmlformats.org/officeDocument/2006/relationships/worksheet" Target="/xl/worksheets/sheet3.xml" Id="Re9ce35c79e5a4454" /><Relationship Type="http://schemas.openxmlformats.org/officeDocument/2006/relationships/worksheet" Target="/xl/worksheets/sheet4.xml" Id="R15a09b4217cf4a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80e08d8112448c" /><Relationship Type="http://schemas.openxmlformats.org/officeDocument/2006/relationships/chart" Target="/xl/drawings/charts/chart2.xml" Id="R4f07411e78064e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Compras netas por mes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Total compra neto</c:v>
          </c:tx>
          <c:cat>
            <c:strRef>
              <c:f>'Resumen'!$D$2:$D$25</c:f>
              <c:strCache>
                <c:ptCount val="0"/>
              </c:strCache>
            </c:strRef>
          </c:cat>
          <c:val>
            <c:numRef>
              <c:f>'Resumen'!$E$2:$E$25</c:f>
              <c:numCache>
                <c:formatCode>$#,##0.00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Comparación 2026 vs mismo mes 2025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Compra 2026</c:v>
          </c:tx>
          <c:cat>
            <c:strRef>
              <c:f>'Resumen'!$J$2:$J$13</c:f>
              <c:strCache>
                <c:ptCount val="0"/>
              </c:strCache>
            </c:strRef>
          </c:cat>
          <c:val>
            <c:numRef>
              <c:f>'Resumen'!$K$2:$K$13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Mismo mes 2025</c:v>
          </c:tx>
          <c:cat>
            <c:strRef>
              <c:f>'Resumen'!$J$2:$J$13</c:f>
              <c:strCache>
                <c:ptCount val="0"/>
              </c:strCache>
            </c:strRef>
          </c:cat>
          <c:val>
            <c:numRef>
              <c:f>'Resumen'!$L$2:$L$13</c:f>
              <c:numCache>
                <c:formatCode>$#,##0.00</c:formatCode>
                <c:ptCount val="0"/>
              </c:numCache>
            </c:numRef>
          </c:val>
        </c:ser>
        <c:ser>
          <c:idx val="2"/>
          <c:order val="2"/>
          <c:tx>
            <c:v>Variación absoluta</c:v>
          </c:tx>
          <c:cat>
            <c:strRef>
              <c:f>'Resumen'!$J$2:$J$13</c:f>
              <c:strCache>
                <c:ptCount val="0"/>
              </c:strCache>
            </c:strRef>
          </c:cat>
          <c:val>
            <c:numRef>
              <c:f>'Resumen'!$M$2:$M$13</c:f>
              <c:numCache>
                <c:formatCode>$#,##0.00</c:formatCode>
                <c:ptCount val="0"/>
              </c:numCache>
            </c:numRef>
          </c:val>
        </c:ser>
        <c:ser>
          <c:idx val="3"/>
          <c:order val="3"/>
          <c:tx>
            <c:v>Variación %</c:v>
          </c:tx>
          <c:cat>
            <c:strRef>
              <c:f>'Resumen'!$J$2:$J$13</c:f>
              <c:strCache>
                <c:ptCount val="0"/>
              </c:strCache>
            </c:strRef>
          </c:cat>
          <c:val>
            <c:numRef>
              <c:f>'Resumen'!$N$2:$N$13</c:f>
              <c:numCache>
                <c:formatCode>0.00%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80e08d8112448c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07411e78064e9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ComprasMedicamentos" displayName="TablaComprasMedicamentos" ref="A1:AC501" headerRowCount="1">
  <x:tableColumns count="29">
    <x:tableColumn id="1" name="id_compra"/>
    <x:tableColumn id="2" name="fecha_compra"/>
    <x:tableColumn id="3" name="orden_compra"/>
    <x:tableColumn id="4" name="factura_distribuidor"/>
    <x:tableColumn id="5" name="lote_compra"/>
    <x:tableColumn id="6" name="codigo_distribuidor"/>
    <x:tableColumn id="7" name="distribuidor"/>
    <x:tableColumn id="8" name="codigo_medicamento"/>
    <x:tableColumn id="9" name="medicamento"/>
    <x:tableColumn id="10" name="categoria"/>
    <x:tableColumn id="11" name="laboratorio"/>
    <x:tableColumn id="12" name="presentacion"/>
    <x:tableColumn id="13" name="cantidad_cajas"/>
    <x:tableColumn id="14" name="unidades_por_caja"/>
    <x:tableColumn id="15" name="cantidad_unidades"/>
    <x:tableColumn id="16" name="precio_lista_unitario"/>
    <x:tableColumn id="17" name="descuento_distribuidor"/>
    <x:tableColumn id="18" name="valor_descuento"/>
    <x:tableColumn id="19" name="costo_unitario_neto"/>
    <x:tableColumn id="20" name="total_compra_neto"/>
    <x:tableColumn id="21" name="codigo_sucursal_entrega"/>
    <x:tableColumn id="22" name="sucursal_entrega"/>
    <x:tableColumn id="23" name="zona_entrega"/>
    <x:tableColumn id="24" name="ciudad_entrega"/>
    <x:tableColumn id="25" name="direccion_entrega"/>
    <x:tableColumn id="26" name="fecha_entrega_programada"/>
    <x:tableColumn id="27" name="estado_compra"/>
    <x:tableColumn id="28" name="condicion_pago"/>
    <x:tableColumn id="29" name="observacion"/>
  </x:tableColumns>
  <x:tableStyleInfo name="TableStyleMedium2" showRowStripes="1"/>
</x:table>
</file>

<file path=xl/tables/table2.xml><?xml version="1.0" encoding="utf-8"?>
<x:table xmlns:x="http://schemas.openxmlformats.org/spreadsheetml/2006/main" id="2" name="TablaDistribuidores" displayName="TablaDistribuidores" ref="A1:L9" headerRowCount="1">
  <x:tableColumns count="12">
    <x:tableColumn id="1" name="codigo_distribuidor"/>
    <x:tableColumn id="2" name="distribuidor"/>
    <x:tableColumn id="3" name="ruc"/>
    <x:tableColumn id="4" name="ciudad"/>
    <x:tableColumn id="5" name="contacto_ventas"/>
    <x:tableColumn id="6" name="cargo"/>
    <x:tableColumn id="7" name="telefono"/>
    <x:tableColumn id="8" name="correo"/>
    <x:tableColumn id="9" name="condicion_pago"/>
    <x:tableColumn id="10" name="tiempo_entrega_estimado"/>
    <x:tableColumn id="11" name="descuento_base"/>
    <x:tableColumn id="12" name="lineas_laboratorio"/>
  </x:tableColumns>
  <x:tableStyleInfo name="TableStyleMedium2" showRowStripes="1"/>
</x:table>
</file>

<file path=xl/tables/table3.xml><?xml version="1.0" encoding="utf-8"?>
<x:table xmlns:x="http://schemas.openxmlformats.org/spreadsheetml/2006/main" id="3" name="TablaMedicamentos" displayName="TablaMedicamentos" ref="A1:H16" headerRowCount="1">
  <x:tableColumns count="8">
    <x:tableColumn id="1" name="codigo_medicamento"/>
    <x:tableColumn id="2" name="medicamento"/>
    <x:tableColumn id="3" name="categoria"/>
    <x:tableColumn id="4" name="laboratorio"/>
    <x:tableColumn id="5" name="presentacion"/>
    <x:tableColumn id="6" name="costo_base_mysql"/>
    <x:tableColumn id="7" name="precio_venta_mysql"/>
    <x:tableColumn id="8" name="margen_referencial"/>
  </x:tableColumns>
  <x:tableStyleInfo name="TableStyleMedium2" showRowStripes="1"/>
</x:table>
</file>

<file path=xl/tables/table4.xml><?xml version="1.0" encoding="utf-8"?>
<x:table xmlns:x="http://schemas.openxmlformats.org/spreadsheetml/2006/main" id="4" name="TablaResumenMensual" displayName="TablaResumenMensual" ref="D1:H25" headerRowCount="1">
  <x:tableColumns count="5">
    <x:tableColumn id="1" name="Mes"/>
    <x:tableColumn id="2" name="Total compra neto"/>
    <x:tableColumn id="3" name="Unidades compradas"/>
    <x:tableColumn id="4" name="Descuento promedio"/>
    <x:tableColumn id="5" name="Compras"/>
  </x:tableColumns>
  <x:tableStyleInfo name="TableStyleMedium2" showRowStripes="1"/>
</x:table>
</file>

<file path=xl/tables/table5.xml><?xml version="1.0" encoding="utf-8"?>
<x:table xmlns:x="http://schemas.openxmlformats.org/spreadsheetml/2006/main" id="5" name="TablaVariacionAnual" displayName="TablaVariacionAnual" ref="J1:N13" headerRowCount="1">
  <x:tableColumns count="5">
    <x:tableColumn id="1" name="Mes 2026"/>
    <x:tableColumn id="2" name="Compra 2026"/>
    <x:tableColumn id="3" name="Mismo mes 2025"/>
    <x:tableColumn id="4" name="Variación absoluta"/>
    <x:tableColumn id="5" name="Variación %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79ea9235b94f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7eb72238774c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b7b3f78b6ab43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df1300e188142d2" /><Relationship Type="http://schemas.openxmlformats.org/officeDocument/2006/relationships/table" Target="/xl/tables/table4.xml" Id="R3d458317c99745e4" /><Relationship Type="http://schemas.openxmlformats.org/officeDocument/2006/relationships/table" Target="/xl/tables/table5.xml" Id="Rdfc4e1a505b3474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20" hidden="0" customWidth="1"/>
    <x:col min="5" max="5" width="16" hidden="0" customWidth="1"/>
    <x:col min="6" max="6" width="14" hidden="0" customWidth="1"/>
    <x:col min="7" max="7" width="28" hidden="0" customWidth="1"/>
    <x:col min="8" max="8" width="14" hidden="0" customWidth="1"/>
    <x:col min="9" max="9" width="24" hidden="0" customWidth="1"/>
    <x:col min="10" max="10" width="18" hidden="0" customWidth="1"/>
    <x:col min="11" max="11" width="20" hidden="0" customWidth="1"/>
    <x:col min="12" max="12" width="20" hidden="0" customWidth="1"/>
    <x:col min="13" max="13" width="13" hidden="0" customWidth="1"/>
    <x:col min="14" max="14" width="15" hidden="0" customWidth="1"/>
    <x:col min="15" max="15" width="15" hidden="0" customWidth="1"/>
    <x:col min="16" max="16" width="15" hidden="0" customWidth="1"/>
    <x:col min="17" max="17" width="13" hidden="0" customWidth="1"/>
    <x:col min="18" max="18" width="15" hidden="0" customWidth="1"/>
    <x:col min="19" max="19" width="16" hidden="0" customWidth="1"/>
    <x:col min="20" max="20" width="16" hidden="0" customWidth="1"/>
    <x:col min="21" max="21" width="14" hidden="0" customWidth="1"/>
    <x:col min="22" max="22" width="26" hidden="0" customWidth="1"/>
    <x:col min="23" max="23" width="14" hidden="0" customWidth="1"/>
    <x:col min="24" max="24" width="14" hidden="0" customWidth="1"/>
    <x:col min="25" max="25" width="32" hidden="0" customWidth="1"/>
    <x:col min="26" max="26" width="16" hidden="0" customWidth="1"/>
    <x:col min="27" max="27" width="14" hidden="0" customWidth="1"/>
    <x:col min="28" max="28" width="18" hidden="0" customWidth="1"/>
    <x:col min="29" max="29" width="32" hidden="0" customWidth="1"/>
  </x:cols>
  <x:sheetData>
    <x:row r="1" ht="30" customHeight="1">
      <x:c r="A1" s="6" t="str">
        <x:v>id_compra</x:v>
      </x:c>
      <x:c r="B1" s="6" t="str">
        <x:v>fecha_compra</x:v>
      </x:c>
      <x:c r="C1" s="6" t="str">
        <x:v>orden_compra</x:v>
      </x:c>
      <x:c r="D1" s="6" t="str">
        <x:v>factura_distribuidor</x:v>
      </x:c>
      <x:c r="E1" s="6" t="str">
        <x:v>lote_compra</x:v>
      </x:c>
      <x:c r="F1" s="6" t="str">
        <x:v>codigo_distribuidor</x:v>
      </x:c>
      <x:c r="G1" s="6" t="str">
        <x:v>distribuidor</x:v>
      </x:c>
      <x:c r="H1" s="6" t="str">
        <x:v>codigo_medicamento</x:v>
      </x:c>
      <x:c r="I1" s="6" t="str">
        <x:v>medicamento</x:v>
      </x:c>
      <x:c r="J1" s="6" t="str">
        <x:v>categoria</x:v>
      </x:c>
      <x:c r="K1" s="6" t="str">
        <x:v>laboratorio</x:v>
      </x:c>
      <x:c r="L1" s="6" t="str">
        <x:v>presentacion</x:v>
      </x:c>
      <x:c r="M1" s="6" t="str">
        <x:v>cantidad_cajas</x:v>
      </x:c>
      <x:c r="N1" s="6" t="str">
        <x:v>unidades_por_caja</x:v>
      </x:c>
      <x:c r="O1" s="6" t="str">
        <x:v>cantidad_unidades</x:v>
      </x:c>
      <x:c r="P1" s="6" t="str">
        <x:v>precio_lista_unitario</x:v>
      </x:c>
      <x:c r="Q1" s="6" t="str">
        <x:v>descuento_distribuidor</x:v>
      </x:c>
      <x:c r="R1" s="6" t="str">
        <x:v>valor_descuento</x:v>
      </x:c>
      <x:c r="S1" s="6" t="str">
        <x:v>costo_unitario_neto</x:v>
      </x:c>
      <x:c r="T1" s="6" t="str">
        <x:v>total_compra_neto</x:v>
      </x:c>
      <x:c r="U1" s="6" t="str">
        <x:v>codigo_sucursal_entrega</x:v>
      </x:c>
      <x:c r="V1" s="6" t="str">
        <x:v>sucursal_entrega</x:v>
      </x:c>
      <x:c r="W1" s="6" t="str">
        <x:v>zona_entrega</x:v>
      </x:c>
      <x:c r="X1" s="6" t="str">
        <x:v>ciudad_entrega</x:v>
      </x:c>
      <x:c r="Y1" s="6" t="str">
        <x:v>direccion_entrega</x:v>
      </x:c>
      <x:c r="Z1" s="6" t="str">
        <x:v>fecha_entrega_programada</x:v>
      </x:c>
      <x:c r="AA1" s="6" t="str">
        <x:v>estado_compra</x:v>
      </x:c>
      <x:c r="AB1" s="6" t="str">
        <x:v>condicion_pago</x:v>
      </x:c>
      <x:c r="AC1" s="6" t="str">
        <x:v>observacion</x:v>
      </x:c>
    </x:row>
    <x:row r="2">
      <x:c r="A2" t="n">
        <x:v>1</x:v>
      </x:c>
      <x:c r="B2" s="22" t="n">
        <x:v>45696</x:v>
      </x:c>
      <x:c r="C2" t="str">
        <x:v>OC-2025-0001</x:v>
      </x:c>
      <x:c r="D2" t="str">
        <x:v>F-D001-202502-9104</x:v>
      </x:c>
      <x:c r="E2" t="str">
        <x:v>L2502-001-0001</x:v>
      </x:c>
      <x:c r="F2" t="str">
        <x:v>D001</x:v>
      </x:c>
      <x:c r="G2" s="32" t="str">
        <x:v>DistriFarma Andina S.A.</x:v>
      </x:c>
      <x:c r="H2" t="str">
        <x:v>MED001</x:v>
      </x:c>
      <x:c r="I2" s="32" t="str">
        <x:v>Paracetamol 500 mg</x:v>
      </x:c>
      <x:c r="J2" s="32" t="str">
        <x:v>Analgésicos</x:v>
      </x:c>
      <x:c r="K2" s="32" t="str">
        <x:v>Genfar</x:v>
      </x:c>
      <x:c r="L2" s="32" t="str">
        <x:v>Caja x 20 tabletas</x:v>
      </x:c>
      <x:c r="M2" s="28" t="n">
        <x:v>30</x:v>
      </x:c>
      <x:c r="N2" s="28" t="n">
        <x:v>20</x:v>
      </x:c>
      <x:c r="O2" s="28" t="n">
        <x:f>M2*N2</x:f>
        <x:v>600</x:v>
      </x:c>
      <x:c r="P2" s="24" t="n">
        <x:v>0.73</x:v>
      </x:c>
      <x:c r="Q2" s="26" t="n">
        <x:v>0.1129489317247183</x:v>
      </x:c>
      <x:c r="R2" s="24" t="n">
        <x:f>O2*P2*Q2</x:f>
        <x:v>49.471632095426614</x:v>
      </x:c>
      <x:c r="S2" s="24" t="n">
        <x:f>P2*(1-Q2)</x:f>
        <x:v>0.6475472798409556</x:v>
      </x:c>
      <x:c r="T2" s="24" t="n">
        <x:f>O2*S2</x:f>
        <x:v>388.5283679045734</x:v>
      </x:c>
      <x:c r="U2" t="str">
        <x:v>CENTRO</x:v>
      </x:c>
      <x:c r="V2" t="str">
        <x:v>Farmacia Centro Histórico</x:v>
      </x:c>
      <x:c r="W2" t="str">
        <x:v>Zona Centro</x:v>
      </x:c>
      <x:c r="X2" t="str">
        <x:v>Quito</x:v>
      </x:c>
      <x:c r="Y2" s="32" t="str">
        <x:v>Guayaquil y Chile</x:v>
      </x:c>
      <x:c r="Z2" s="22" t="n">
        <x:v>45699</x:v>
      </x:c>
      <x:c r="AA2" t="str">
        <x:v>Recibido</x:v>
      </x:c>
      <x:c r="AB2" t="str">
        <x:v>30 días crédito</x:v>
      </x:c>
      <x:c r="AC2" s="32" t="str"/>
    </x:row>
    <x:row r="3">
      <x:c r="A3" t="n">
        <x:v>2</x:v>
      </x:c>
      <x:c r="B3" s="22" t="n">
        <x:v>45808</x:v>
      </x:c>
      <x:c r="C3" t="str">
        <x:v>OC-2025-0002</x:v>
      </x:c>
      <x:c r="D3" t="str">
        <x:v>F-D008-202505-5455</x:v>
      </x:c>
      <x:c r="E3" t="str">
        <x:v>L2505-002-0002</x:v>
      </x:c>
      <x:c r="F3" t="str">
        <x:v>D008</x:v>
      </x:c>
      <x:c r="G3" s="32" t="str">
        <x:v>Mayorista MedicPlus</x:v>
      </x:c>
      <x:c r="H3" t="str">
        <x:v>MED002</x:v>
      </x:c>
      <x:c r="I3" s="32" t="str">
        <x:v>Ibuprofeno 400 mg</x:v>
      </x:c>
      <x:c r="J3" s="32" t="str">
        <x:v>Analgésicos</x:v>
      </x:c>
      <x:c r="K3" s="32" t="str">
        <x:v>La Santé</x:v>
      </x:c>
      <x:c r="L3" s="32" t="str">
        <x:v>Caja x 20 tabletas</x:v>
      </x:c>
      <x:c r="M3" s="28" t="n">
        <x:v>16</x:v>
      </x:c>
      <x:c r="N3" s="28" t="n">
        <x:v>30</x:v>
      </x:c>
      <x:c r="O3" s="28" t="n">
        <x:f>M3*N3</x:f>
        <x:v>480</x:v>
      </x:c>
      <x:c r="P3" s="24" t="n">
        <x:v>1.16</x:v>
      </x:c>
      <x:c r="Q3" s="26" t="n">
        <x:v>0.10353996214431586</x:v>
      </x:c>
      <x:c r="R3" s="24" t="n">
        <x:f>O3*P3*Q3</x:f>
        <x:v>57.65105092195507</x:v>
      </x:c>
      <x:c r="S3" s="24" t="n">
        <x:f>P3*(1-Q3)</x:f>
        <x:v>1.0398936439125936</x:v>
      </x:c>
      <x:c r="T3" s="24" t="n">
        <x:f>O3*S3</x:f>
        <x:v>499.14894907804495</x:v>
      </x:c>
      <x:c r="U3" t="str">
        <x:v>CENTRO</x:v>
      </x:c>
      <x:c r="V3" t="str">
        <x:v>Farmacia Centro Histórico</x:v>
      </x:c>
      <x:c r="W3" t="str">
        <x:v>Zona Centro</x:v>
      </x:c>
      <x:c r="X3" t="str">
        <x:v>Quito</x:v>
      </x:c>
      <x:c r="Y3" s="32" t="str">
        <x:v>Guayaquil y Chile</x:v>
      </x:c>
      <x:c r="Z3" s="22" t="n">
        <x:v>45811</x:v>
      </x:c>
      <x:c r="AA3" t="str">
        <x:v>Recibido</x:v>
      </x:c>
      <x:c r="AB3" t="str">
        <x:v>30 días crédito</x:v>
      </x:c>
      <x:c r="AC3" s="32" t="str"/>
    </x:row>
    <x:row r="4">
      <x:c r="A4" t="n">
        <x:v>3</x:v>
      </x:c>
      <x:c r="B4" s="22" t="n">
        <x:v>45847</x:v>
      </x:c>
      <x:c r="C4" t="str">
        <x:v>OC-2025-0003</x:v>
      </x:c>
      <x:c r="D4" t="str">
        <x:v>F-D006-202507-8744</x:v>
      </x:c>
      <x:c r="E4" t="str">
        <x:v>L2507-002-0003</x:v>
      </x:c>
      <x:c r="F4" t="str">
        <x:v>D006</x:v>
      </x:c>
      <x:c r="G4" s="32" t="str">
        <x:v>Insumos Médicos del Pacífico</x:v>
      </x:c>
      <x:c r="H4" t="str">
        <x:v>MED002</x:v>
      </x:c>
      <x:c r="I4" s="32" t="str">
        <x:v>Ibuprofeno 400 mg</x:v>
      </x:c>
      <x:c r="J4" s="32" t="str">
        <x:v>Analgésicos</x:v>
      </x:c>
      <x:c r="K4" s="32" t="str">
        <x:v>La Santé</x:v>
      </x:c>
      <x:c r="L4" s="32" t="str">
        <x:v>Caja x 20 tabletas</x:v>
      </x:c>
      <x:c r="M4" s="28" t="n">
        <x:v>5</x:v>
      </x:c>
      <x:c r="N4" s="28" t="n">
        <x:v>50</x:v>
      </x:c>
      <x:c r="O4" s="28" t="n">
        <x:f>M4*N4</x:f>
        <x:v>250</x:v>
      </x:c>
      <x:c r="P4" s="24" t="n">
        <x:v>1.08</x:v>
      </x:c>
      <x:c r="Q4" s="26" t="n">
        <x:v>0.13068871030545545</x:v>
      </x:c>
      <x:c r="R4" s="24" t="n">
        <x:f>O4*P4*Q4</x:f>
        <x:v>35.28595178247297</x:v>
      </x:c>
      <x:c r="S4" s="24" t="n">
        <x:f>P4*(1-Q4)</x:f>
        <x:v>0.9388561928701081</x:v>
      </x:c>
      <x:c r="T4" s="24" t="n">
        <x:f>O4*S4</x:f>
        <x:v>234.71404821752702</x:v>
      </x:c>
      <x:c r="U4" t="str">
        <x:v>NORTE</x:v>
      </x:c>
      <x:c r="V4" t="str">
        <x:v>Farmacia Norte</x:v>
      </x:c>
      <x:c r="W4" t="str">
        <x:v>Zona Norte</x:v>
      </x:c>
      <x:c r="X4" t="str">
        <x:v>Quito</x:v>
      </x:c>
      <x:c r="Y4" s="32" t="str">
        <x:v>Av. 10 de Agosto N45-20</x:v>
      </x:c>
      <x:c r="Z4" s="22" t="n">
        <x:v>45850</x:v>
      </x:c>
      <x:c r="AA4" t="str">
        <x:v>Recibido</x:v>
      </x:c>
      <x:c r="AB4" t="str">
        <x:v>60 días crédito</x:v>
      </x:c>
      <x:c r="AC4" s="32" t="str">
        <x:v>Descuento por volumen</x:v>
      </x:c>
    </x:row>
    <x:row r="5">
      <x:c r="A5" t="n">
        <x:v>4</x:v>
      </x:c>
      <x:c r="B5" s="22" t="n">
        <x:v>45661</x:v>
      </x:c>
      <x:c r="C5" t="str">
        <x:v>OC-2025-0004</x:v>
      </x:c>
      <x:c r="D5" t="str">
        <x:v>F-D001-202501-6195</x:v>
      </x:c>
      <x:c r="E5" t="str">
        <x:v>L2501-015-0004</x:v>
      </x:c>
      <x:c r="F5" t="str">
        <x:v>D001</x:v>
      </x:c>
      <x:c r="G5" s="32" t="str">
        <x:v>DistriFarma Andina S.A.</x:v>
      </x:c>
      <x:c r="H5" t="str">
        <x:v>MED015</x:v>
      </x:c>
      <x:c r="I5" s="32" t="str">
        <x:v>Producto descontinuado</x:v>
      </x:c>
      <x:c r="J5" s="32" t="str">
        <x:v>Vitaminas</x:v>
      </x:c>
      <x:c r="K5" s="32" t="str">
        <x:v>MEDICAMENTA</x:v>
      </x:c>
      <x:c r="L5" s="32" t="str">
        <x:v>Caja x 20</x:v>
      </x:c>
      <x:c r="M5" s="28" t="n">
        <x:v>2</x:v>
      </x:c>
      <x:c r="N5" s="28" t="n">
        <x:v>20</x:v>
      </x:c>
      <x:c r="O5" s="28" t="n">
        <x:f>M5*N5</x:f>
        <x:v>40</x:v>
      </x:c>
      <x:c r="P5" s="24" t="n">
        <x:v>6.86</x:v>
      </x:c>
      <x:c r="Q5" s="26" t="n">
        <x:v>0.11318569309830111</x:v>
      </x:c>
      <x:c r="R5" s="24" t="n">
        <x:f>O5*P5*Q5</x:f>
        <x:v>31.058154186173827</x:v>
      </x:c>
      <x:c r="S5" s="24" t="n">
        <x:f>P5*(1-Q5)</x:f>
        <x:v>6.083546145345655</x:v>
      </x:c>
      <x:c r="T5" s="24" t="n">
        <x:f>O5*S5</x:f>
        <x:v>243.34184581382618</x:v>
      </x:c>
      <x:c r="U5" t="str">
        <x:v>CENTRO</x:v>
      </x:c>
      <x:c r="V5" t="str">
        <x:v>Farmacia Centro Histórico</x:v>
      </x:c>
      <x:c r="W5" t="str">
        <x:v>Zona Centro</x:v>
      </x:c>
      <x:c r="X5" t="str">
        <x:v>Quito</x:v>
      </x:c>
      <x:c r="Y5" s="32" t="str">
        <x:v>Guayaquil y Chile</x:v>
      </x:c>
      <x:c r="Z5" s="22" t="n">
        <x:v>45665</x:v>
      </x:c>
      <x:c r="AA5" t="str">
        <x:v>Recibido</x:v>
      </x:c>
      <x:c r="AB5" t="str">
        <x:v>30 días crédito</x:v>
      </x:c>
      <x:c r="AC5" s="32" t="str">
        <x:v>Compra controlada: producto descontinuado</x:v>
      </x:c>
    </x:row>
    <x:row r="6">
      <x:c r="A6" t="n">
        <x:v>5</x:v>
      </x:c>
      <x:c r="B6" s="22" t="n">
        <x:v>46275</x:v>
      </x:c>
      <x:c r="C6" t="str">
        <x:v>OC-2026-0005</x:v>
      </x:c>
      <x:c r="D6" t="str">
        <x:v>F-D008-202609-8724</x:v>
      </x:c>
      <x:c r="E6" t="str">
        <x:v>L2609-005-0005</x:v>
      </x:c>
      <x:c r="F6" t="str">
        <x:v>D008</x:v>
      </x:c>
      <x:c r="G6" s="32" t="str">
        <x:v>Mayorista MedicPlus</x:v>
      </x:c>
      <x:c r="H6" t="str">
        <x:v>MED005</x:v>
      </x:c>
      <x:c r="I6" s="32" t="str">
        <x:v>Loratadina 10 mg</x:v>
      </x:c>
      <x:c r="J6" s="32" t="str">
        <x:v>Antigripales</x:v>
      </x:c>
      <x:c r="K6" s="32" t="str">
        <x:v>Genfar</x:v>
      </x:c>
      <x:c r="L6" s="32" t="str">
        <x:v>Caja x 10 tabletas</x:v>
      </x:c>
      <x:c r="M6" s="28" t="n">
        <x:v>30</x:v>
      </x:c>
      <x:c r="N6" s="28" t="n">
        <x:v>24</x:v>
      </x:c>
      <x:c r="O6" s="28" t="n">
        <x:f>M6*N6</x:f>
        <x:v>720</x:v>
      </x:c>
      <x:c r="P6" s="24" t="n">
        <x:v>1.1</x:v>
      </x:c>
      <x:c r="Q6" s="26" t="n">
        <x:v>0.10783241269178898</x:v>
      </x:c>
      <x:c r="R6" s="24" t="n">
        <x:f>O6*P6*Q6</x:f>
        <x:v>85.40327085189688</x:v>
      </x:c>
      <x:c r="S6" s="24" t="n">
        <x:f>P6*(1-Q6)</x:f>
        <x:v>0.9813843460390321</x:v>
      </x:c>
      <x:c r="T6" s="24" t="n">
        <x:f>O6*S6</x:f>
        <x:v>706.5967291481031</x:v>
      </x:c>
      <x:c r="U6" t="str">
        <x:v>CENTRO</x:v>
      </x:c>
      <x:c r="V6" t="str">
        <x:v>Farmacia Centro Histórico</x:v>
      </x:c>
      <x:c r="W6" t="str">
        <x:v>Zona Centro</x:v>
      </x:c>
      <x:c r="X6" t="str">
        <x:v>Quito</x:v>
      </x:c>
      <x:c r="Y6" s="32" t="str">
        <x:v>Guayaquil y Chile</x:v>
      </x:c>
      <x:c r="Z6" s="22" t="n">
        <x:v>46278</x:v>
      </x:c>
      <x:c r="AA6" t="str">
        <x:v>Recibido</x:v>
      </x:c>
      <x:c r="AB6" t="str">
        <x:v>30 días crédito</x:v>
      </x:c>
      <x:c r="AC6" s="32" t="str">
        <x:v>Entrega coordinada fuera de horario regular</x:v>
      </x:c>
    </x:row>
    <x:row r="7">
      <x:c r="A7" t="n">
        <x:v>6</x:v>
      </x:c>
      <x:c r="B7" s="22" t="n">
        <x:v>45851</x:v>
      </x:c>
      <x:c r="C7" t="str">
        <x:v>OC-2025-0006</x:v>
      </x:c>
      <x:c r="D7" t="str">
        <x:v>F-D001-202507-8303</x:v>
      </x:c>
      <x:c r="E7" t="str">
        <x:v>L2507-007-0006</x:v>
      </x:c>
      <x:c r="F7" t="str">
        <x:v>D001</x:v>
      </x:c>
      <x:c r="G7" s="32" t="str">
        <x:v>DistriFarma Andina S.A.</x:v>
      </x:c>
      <x:c r="H7" t="str">
        <x:v>MED007</x:v>
      </x:c>
      <x:c r="I7" s="32" t="str">
        <x:v>Omeprazol 20 mg</x:v>
      </x:c>
      <x:c r="J7" s="32" t="str">
        <x:v>Gastrointestinales</x:v>
      </x:c>
      <x:c r="K7" s="32" t="str">
        <x:v>La Santé</x:v>
      </x:c>
      <x:c r="L7" s="32" t="str">
        <x:v>Caja x 30 cápsulas</x:v>
      </x:c>
      <x:c r="M7" s="28" t="n">
        <x:v>10</x:v>
      </x:c>
      <x:c r="N7" s="28" t="n">
        <x:v>50</x:v>
      </x:c>
      <x:c r="O7" s="28" t="n">
        <x:f>M7*N7</x:f>
        <x:v>500</x:v>
      </x:c>
      <x:c r="P7" s="24" t="n">
        <x:v>3.12</x:v>
      </x:c>
      <x:c r="Q7" s="26" t="n">
        <x:v>0.07575179709634886</x:v>
      </x:c>
      <x:c r="R7" s="24" t="n">
        <x:f>O7*P7*Q7</x:f>
        <x:v>118.17280347030422</x:v>
      </x:c>
      <x:c r="S7" s="24" t="n">
        <x:f>P7*(1-Q7)</x:f>
        <x:v>2.8836543930593916</x:v>
      </x:c>
      <x:c r="T7" s="24" t="n">
        <x:f>O7*S7</x:f>
        <x:v>1441.8271965296958</x:v>
      </x:c>
      <x:c r="U7" t="str">
        <x:v>SUR</x:v>
      </x:c>
      <x:c r="V7" t="str">
        <x:v>Farmacia del Sur</x:v>
      </x:c>
      <x:c r="W7" t="str">
        <x:v>Zona Sur</x:v>
      </x:c>
      <x:c r="X7" t="str">
        <x:v>Quito</x:v>
      </x:c>
      <x:c r="Y7" s="32" t="str">
        <x:v>Av. Maldonado S25-10</x:v>
      </x:c>
      <x:c r="Z7" s="22" t="n">
        <x:v>45854</x:v>
      </x:c>
      <x:c r="AA7" t="str">
        <x:v>Recibido</x:v>
      </x:c>
      <x:c r="AB7" t="str">
        <x:v>30 días crédito</x:v>
      </x:c>
      <x:c r="AC7" s="32" t="str"/>
    </x:row>
    <x:row r="8">
      <x:c r="A8" t="n">
        <x:v>7</x:v>
      </x:c>
      <x:c r="B8" s="22" t="n">
        <x:v>45677</x:v>
      </x:c>
      <x:c r="C8" t="str">
        <x:v>OC-2025-0007</x:v>
      </x:c>
      <x:c r="D8" t="str">
        <x:v>F-D003-202501-4898</x:v>
      </x:c>
      <x:c r="E8" t="str">
        <x:v>L2501-007-0007</x:v>
      </x:c>
      <x:c r="F8" t="str">
        <x:v>D003</x:v>
      </x:c>
      <x:c r="G8" s="32" t="str">
        <x:v>FarmaLogística Sierra</x:v>
      </x:c>
      <x:c r="H8" t="str">
        <x:v>MED007</x:v>
      </x:c>
      <x:c r="I8" s="32" t="str">
        <x:v>Omeprazol 20 mg</x:v>
      </x:c>
      <x:c r="J8" s="32" t="str">
        <x:v>Gastrointestinales</x:v>
      </x:c>
      <x:c r="K8" s="32" t="str">
        <x:v>La Santé</x:v>
      </x:c>
      <x:c r="L8" s="32" t="str">
        <x:v>Caja x 30 cápsulas</x:v>
      </x:c>
      <x:c r="M8" s="28" t="n">
        <x:v>5</x:v>
      </x:c>
      <x:c r="N8" s="28" t="n">
        <x:v>50</x:v>
      </x:c>
      <x:c r="O8" s="28" t="n">
        <x:f>M8*N8</x:f>
        <x:v>250</x:v>
      </x:c>
      <x:c r="P8" s="24" t="n">
        <x:v>2.8</x:v>
      </x:c>
      <x:c r="Q8" s="26" t="n">
        <x:v>0.042149636075584716</x:v>
      </x:c>
      <x:c r="R8" s="24" t="n">
        <x:f>O8*P8*Q8</x:f>
        <x:v>29.504745252909302</x:v>
      </x:c>
      <x:c r="S8" s="24" t="n">
        <x:f>P8*(1-Q8)</x:f>
        <x:v>2.6819810189883624</x:v>
      </x:c>
      <x:c r="T8" s="24" t="n">
        <x:f>O8*S8</x:f>
        <x:v>670.4952547470906</x:v>
      </x:c>
      <x:c r="U8" t="str">
        <x:v>NORTE</x:v>
      </x:c>
      <x:c r="V8" t="str">
        <x:v>Farmacia Norte</x:v>
      </x:c>
      <x:c r="W8" t="str">
        <x:v>Zona Norte</x:v>
      </x:c>
      <x:c r="X8" t="str">
        <x:v>Quito</x:v>
      </x:c>
      <x:c r="Y8" s="32" t="str">
        <x:v>Av. 10 de Agosto N45-20</x:v>
      </x:c>
      <x:c r="Z8" s="22" t="n">
        <x:v>45681</x:v>
      </x:c>
      <x:c r="AA8" t="str">
        <x:v>Recibido</x:v>
      </x:c>
      <x:c r="AB8" t="str">
        <x:v>Contado contra entrega</x:v>
      </x:c>
      <x:c r="AC8" s="32" t="str"/>
    </x:row>
    <x:row r="9">
      <x:c r="A9" t="n">
        <x:v>8</x:v>
      </x:c>
      <x:c r="B9" s="22" t="n">
        <x:v>45955</x:v>
      </x:c>
      <x:c r="C9" t="str">
        <x:v>OC-2025-0008</x:v>
      </x:c>
      <x:c r="D9" t="str">
        <x:v>F-D006-202510-2692</x:v>
      </x:c>
      <x:c r="E9" t="str">
        <x:v>L2510-008-0008</x:v>
      </x:c>
      <x:c r="F9" t="str">
        <x:v>D006</x:v>
      </x:c>
      <x:c r="G9" s="32" t="str">
        <x:v>Insumos Médicos del Pacífico</x:v>
      </x:c>
      <x:c r="H9" t="str">
        <x:v>MED008</x:v>
      </x:c>
      <x:c r="I9" s="32" t="str">
        <x:v>Diclofenaco gel</x:v>
      </x:c>
      <x:c r="J9" s="32" t="str">
        <x:v>Dermatológicos</x:v>
      </x:c>
      <x:c r="K9" s="32" t="str">
        <x:v>Bayer</x:v>
      </x:c>
      <x:c r="L9" s="32" t="str">
        <x:v>Tubo 50 g</x:v>
      </x:c>
      <x:c r="M9" s="28" t="n">
        <x:v>15</x:v>
      </x:c>
      <x:c r="N9" s="28" t="n">
        <x:v>20</x:v>
      </x:c>
      <x:c r="O9" s="28" t="n">
        <x:f>M9*N9</x:f>
        <x:v>300</x:v>
      </x:c>
      <x:c r="P9" s="24" t="n">
        <x:v>2.12</x:v>
      </x:c>
      <x:c r="Q9" s="26" t="n">
        <x:v>0.13193656680102575</x:v>
      </x:c>
      <x:c r="R9" s="24" t="n">
        <x:f>O9*P9*Q9</x:f>
        <x:v>83.91165648545238</x:v>
      </x:c>
      <x:c r="S9" s="24" t="n">
        <x:f>P9*(1-Q9)</x:f>
        <x:v>1.8402944783818256</x:v>
      </x:c>
      <x:c r="T9" s="24" t="n">
        <x:f>O9*S9</x:f>
        <x:v>552.0883435145477</x:v>
      </x:c>
      <x:c r="U9" t="str">
        <x:v>CENTRO</x:v>
      </x:c>
      <x:c r="V9" t="str">
        <x:v>Farmacia Centro Histórico</x:v>
      </x:c>
      <x:c r="W9" t="str">
        <x:v>Zona Centro</x:v>
      </x:c>
      <x:c r="X9" t="str">
        <x:v>Quito</x:v>
      </x:c>
      <x:c r="Y9" s="32" t="str">
        <x:v>Guayaquil y Chile</x:v>
      </x:c>
      <x:c r="Z9" s="22" t="n">
        <x:v>45957</x:v>
      </x:c>
      <x:c r="AA9" t="str">
        <x:v>Recibido</x:v>
      </x:c>
      <x:c r="AB9" t="str">
        <x:v>60 días crédito</x:v>
      </x:c>
      <x:c r="AC9" s="32" t="str">
        <x:v>Descuento por volumen</x:v>
      </x:c>
    </x:row>
    <x:row r="10">
      <x:c r="A10" t="n">
        <x:v>9</x:v>
      </x:c>
      <x:c r="B10" s="22" t="n">
        <x:v>46268</x:v>
      </x:c>
      <x:c r="C10" t="str">
        <x:v>OC-2026-0009</x:v>
      </x:c>
      <x:c r="D10" t="str">
        <x:v>F-D003-202609-6643</x:v>
      </x:c>
      <x:c r="E10" t="str">
        <x:v>L2609-002-0009</x:v>
      </x:c>
      <x:c r="F10" t="str">
        <x:v>D003</x:v>
      </x:c>
      <x:c r="G10" s="32" t="str">
        <x:v>FarmaLogística Sierra</x:v>
      </x:c>
      <x:c r="H10" t="str">
        <x:v>MED002</x:v>
      </x:c>
      <x:c r="I10" s="32" t="str">
        <x:v>Ibuprofeno 400 mg</x:v>
      </x:c>
      <x:c r="J10" s="32" t="str">
        <x:v>Analgésicos</x:v>
      </x:c>
      <x:c r="K10" s="32" t="str">
        <x:v>La Santé</x:v>
      </x:c>
      <x:c r="L10" s="32" t="str">
        <x:v>Caja x 20 tabletas</x:v>
      </x:c>
      <x:c r="M10" s="28" t="n">
        <x:v>9</x:v>
      </x:c>
      <x:c r="N10" s="28" t="n">
        <x:v>20</x:v>
      </x:c>
      <x:c r="O10" s="28" t="n">
        <x:f>M10*N10</x:f>
        <x:v>180</x:v>
      </x:c>
      <x:c r="P10" s="24" t="n">
        <x:v>1.34</x:v>
      </x:c>
      <x:c r="Q10" s="26" t="n">
        <x:v>0.03647480782736601</x:v>
      </x:c>
      <x:c r="R10" s="24" t="n">
        <x:f>O10*P10*Q10</x:f>
        <x:v>8.797723647960682</x:v>
      </x:c>
      <x:c r="S10" s="24" t="n">
        <x:f>P10*(1-Q10)</x:f>
        <x:v>1.2911237575113297</x:v>
      </x:c>
      <x:c r="T10" s="24" t="n">
        <x:f>O10*S10</x:f>
        <x:v>232.40227635203934</x:v>
      </x:c>
      <x:c r="U10" t="str">
        <x:v>VALLE</x:v>
      </x:c>
      <x:c r="V10" t="str">
        <x:v>Farmacia Valle de los Chillos</x:v>
      </x:c>
      <x:c r="W10" t="str">
        <x:v>Zona Valle</x:v>
      </x:c>
      <x:c r="X10" t="str">
        <x:v>Sangolquí</x:v>
      </x:c>
      <x:c r="Y10" s="32" t="str">
        <x:v>Av. Calderón 101</x:v>
      </x:c>
      <x:c r="Z10" s="22" t="n">
        <x:v>46273</x:v>
      </x:c>
      <x:c r="AA10" t="str">
        <x:v>Recibido</x:v>
      </x:c>
      <x:c r="AB10" t="str">
        <x:v>Contado contra entrega</x:v>
      </x:c>
      <x:c r="AC10" s="32" t="str"/>
    </x:row>
    <x:row r="11">
      <x:c r="A11" t="n">
        <x:v>10</x:v>
      </x:c>
      <x:c r="B11" s="22" t="n">
        <x:v>46050</x:v>
      </x:c>
      <x:c r="C11" t="str">
        <x:v>OC-2026-0010</x:v>
      </x:c>
      <x:c r="D11" t="str">
        <x:v>F-D004-202601-1455</x:v>
      </x:c>
      <x:c r="E11" t="str">
        <x:v>L2601-014-0010</x:v>
      </x:c>
      <x:c r="F11" t="str">
        <x:v>D004</x:v>
      </x:c>
      <x:c r="G11" s="32" t="str">
        <x:v>Distribuidora Salud Total</x:v>
      </x:c>
      <x:c r="H11" t="str">
        <x:v>MED014</x:v>
      </x:c>
      <x:c r="I11" s="32" t="str">
        <x:v>Crema antimicótica</x:v>
      </x:c>
      <x:c r="J11" s="32" t="str">
        <x:v>Dermatológicos</x:v>
      </x:c>
      <x:c r="K11" s="32" t="str">
        <x:v>Acromax</x:v>
      </x:c>
      <x:c r="L11" s="32" t="str">
        <x:v>Tubo 30 g</x:v>
      </x:c>
      <x:c r="M11" s="28" t="n">
        <x:v>24</x:v>
      </x:c>
      <x:c r="N11" s="28" t="n">
        <x:v>10</x:v>
      </x:c>
      <x:c r="O11" s="28" t="n">
        <x:f>M11*N11</x:f>
        <x:v>240</x:v>
      </x:c>
      <x:c r="P11" s="24" t="n">
        <x:v>2.64</x:v>
      </x:c>
      <x:c r="Q11" s="26" t="n">
        <x:v>0.08658142086797775</x:v>
      </x:c>
      <x:c r="R11" s="24" t="n">
        <x:f>O11*P11*Q11</x:f>
        <x:v>54.8579882619507</x:v>
      </x:c>
      <x:c r="S11" s="24" t="n">
        <x:f>P11*(1-Q11)</x:f>
        <x:v>2.411425048908539</x:v>
      </x:c>
      <x:c r="T11" s="24" t="n">
        <x:f>O11*S11</x:f>
        <x:v>578.7420117380493</x:v>
      </x:c>
      <x:c r="U11" t="str">
        <x:v>NORTE</x:v>
      </x:c>
      <x:c r="V11" t="str">
        <x:v>Farmacia Norte</x:v>
      </x:c>
      <x:c r="W11" t="str">
        <x:v>Zona Norte</x:v>
      </x:c>
      <x:c r="X11" t="str">
        <x:v>Quito</x:v>
      </x:c>
      <x:c r="Y11" s="32" t="str">
        <x:v>Av. 10 de Agosto N45-20</x:v>
      </x:c>
      <x:c r="Z11" s="22" t="n">
        <x:v>46055</x:v>
      </x:c>
      <x:c r="AA11" t="str">
        <x:v>Recibido</x:v>
      </x:c>
      <x:c r="AB11" t="str">
        <x:v>45 días crédito</x:v>
      </x:c>
      <x:c r="AC11" s="32" t="str"/>
    </x:row>
    <x:row r="12">
      <x:c r="A12" t="n">
        <x:v>11</x:v>
      </x:c>
      <x:c r="B12" s="22" t="n">
        <x:v>46025</x:v>
      </x:c>
      <x:c r="C12" t="str">
        <x:v>OC-2026-0011</x:v>
      </x:c>
      <x:c r="D12" t="str">
        <x:v>F-D005-202601-5101</x:v>
      </x:c>
      <x:c r="E12" t="str">
        <x:v>L2601-001-0011</x:v>
      </x:c>
      <x:c r="F12" t="str">
        <x:v>D005</x:v>
      </x:c>
      <x:c r="G12" s="32" t="str">
        <x:v>PharmaExpress Quito</x:v>
      </x:c>
      <x:c r="H12" t="str">
        <x:v>MED001</x:v>
      </x:c>
      <x:c r="I12" s="32" t="str">
        <x:v>Paracetamol 500 mg</x:v>
      </x:c>
      <x:c r="J12" s="32" t="str">
        <x:v>Analgésicos</x:v>
      </x:c>
      <x:c r="K12" s="32" t="str">
        <x:v>Genfar</x:v>
      </x:c>
      <x:c r="L12" s="32" t="str">
        <x:v>Caja x 20 tabletas</x:v>
      </x:c>
      <x:c r="M12" s="28" t="n">
        <x:v>15</x:v>
      </x:c>
      <x:c r="N12" s="28" t="n">
        <x:v>20</x:v>
      </x:c>
      <x:c r="O12" s="28" t="n">
        <x:f>M12*N12</x:f>
        <x:v>300</x:v>
      </x:c>
      <x:c r="P12" s="24" t="n">
        <x:v>0.91</x:v>
      </x:c>
      <x:c r="Q12" s="26" t="n">
        <x:v>0.0988738598694994</x:v>
      </x:c>
      <x:c r="R12" s="24" t="n">
        <x:f>O12*P12*Q12</x:f>
        <x:v>26.992563744373335</x:v>
      </x:c>
      <x:c r="S12" s="24" t="n">
        <x:f>P12*(1-Q12)</x:f>
        <x:v>0.8200247875187556</x:v>
      </x:c>
      <x:c r="T12" s="24" t="n">
        <x:f>O12*S12</x:f>
        <x:v>246.0074362556267</x:v>
      </x:c>
      <x:c r="U12" t="str">
        <x:v>NORTE</x:v>
      </x:c>
      <x:c r="V12" t="str">
        <x:v>Farmacia Norte</x:v>
      </x:c>
      <x:c r="W12" t="str">
        <x:v>Zona Norte</x:v>
      </x:c>
      <x:c r="X12" t="str">
        <x:v>Quito</x:v>
      </x:c>
      <x:c r="Y12" s="32" t="str">
        <x:v>Av. 10 de Agosto N45-20</x:v>
      </x:c>
      <x:c r="Z12" s="22" t="n">
        <x:v>46030</x:v>
      </x:c>
      <x:c r="AA12" t="str">
        <x:v>Recibido</x:v>
      </x:c>
      <x:c r="AB12" t="str">
        <x:v>30 días crédito</x:v>
      </x:c>
      <x:c r="AC12" s="32" t="str"/>
    </x:row>
    <x:row r="13">
      <x:c r="A13" t="n">
        <x:v>12</x:v>
      </x:c>
      <x:c r="B13" s="22" t="n">
        <x:v>45681</x:v>
      </x:c>
      <x:c r="C13" t="str">
        <x:v>OC-2025-0012</x:v>
      </x:c>
      <x:c r="D13" t="str">
        <x:v>F-D003-202501-4738</x:v>
      </x:c>
      <x:c r="E13" t="str">
        <x:v>L2501-003-0012</x:v>
      </x:c>
      <x:c r="F13" t="str">
        <x:v>D003</x:v>
      </x:c>
      <x:c r="G13" s="32" t="str">
        <x:v>FarmaLogística Sierra</x:v>
      </x:c>
      <x:c r="H13" t="str">
        <x:v>MED003</x:v>
      </x:c>
      <x:c r="I13" s="32" t="str">
        <x:v>Amoxicilina 500 mg</x:v>
      </x:c>
      <x:c r="J13" s="32" t="str">
        <x:v>Antibióticos</x:v>
      </x:c>
      <x:c r="K13" s="32" t="str">
        <x:v>Acromax</x:v>
      </x:c>
      <x:c r="L13" s="32" t="str">
        <x:v>Caja x 21 cápsulas</x:v>
      </x:c>
      <x:c r="M13" s="28" t="n">
        <x:v>2</x:v>
      </x:c>
      <x:c r="N13" s="28" t="n">
        <x:v>60</x:v>
      </x:c>
      <x:c r="O13" s="28" t="n">
        <x:f>M13*N13</x:f>
        <x:v>120</x:v>
      </x:c>
      <x:c r="P13" s="24" t="n">
        <x:v>3.96</x:v>
      </x:c>
      <x:c r="Q13" s="26" t="n">
        <x:v>0.021673677081321518</x:v>
      </x:c>
      <x:c r="R13" s="24" t="n">
        <x:f>O13*P13*Q13</x:f>
        <x:v>10.299331349043985</x:v>
      </x:c>
      <x:c r="S13" s="24" t="n">
        <x:f>P13*(1-Q13)</x:f>
        <x:v>3.874172238757967</x:v>
      </x:c>
      <x:c r="T13" s="24" t="n">
        <x:f>O13*S13</x:f>
        <x:v>464.90066865095605</x:v>
      </x:c>
      <x:c r="U13" t="str">
        <x:v>SUR</x:v>
      </x:c>
      <x:c r="V13" t="str">
        <x:v>Farmacia del Sur</x:v>
      </x:c>
      <x:c r="W13" t="str">
        <x:v>Zona Sur</x:v>
      </x:c>
      <x:c r="X13" t="str">
        <x:v>Quito</x:v>
      </x:c>
      <x:c r="Y13" s="32" t="str">
        <x:v>Av. Maldonado S25-10</x:v>
      </x:c>
      <x:c r="Z13" s="22" t="n">
        <x:v>45684</x:v>
      </x:c>
      <x:c r="AA13" t="str">
        <x:v>Recibido</x:v>
      </x:c>
      <x:c r="AB13" t="str">
        <x:v>Contado contra entrega</x:v>
      </x:c>
      <x:c r="AC13" s="32" t="str"/>
    </x:row>
    <x:row r="14">
      <x:c r="A14" t="n">
        <x:v>13</x:v>
      </x:c>
      <x:c r="B14" s="22" t="n">
        <x:v>46058</x:v>
      </x:c>
      <x:c r="C14" t="str">
        <x:v>OC-2026-0013</x:v>
      </x:c>
      <x:c r="D14" t="str">
        <x:v>F-D006-202602-4925</x:v>
      </x:c>
      <x:c r="E14" t="str">
        <x:v>L2602-008-0013</x:v>
      </x:c>
      <x:c r="F14" t="str">
        <x:v>D006</x:v>
      </x:c>
      <x:c r="G14" s="32" t="str">
        <x:v>Insumos Médicos del Pacífico</x:v>
      </x:c>
      <x:c r="H14" t="str">
        <x:v>MED008</x:v>
      </x:c>
      <x:c r="I14" s="32" t="str">
        <x:v>Diclofenaco gel</x:v>
      </x:c>
      <x:c r="J14" s="32" t="str">
        <x:v>Dermatológicos</x:v>
      </x:c>
      <x:c r="K14" s="32" t="str">
        <x:v>Bayer</x:v>
      </x:c>
      <x:c r="L14" s="32" t="str">
        <x:v>Tubo 50 g</x:v>
      </x:c>
      <x:c r="M14" s="28" t="n">
        <x:v>5</x:v>
      </x:c>
      <x:c r="N14" s="28" t="n">
        <x:v>50</x:v>
      </x:c>
      <x:c r="O14" s="28" t="n">
        <x:f>M14*N14</x:f>
        <x:v>250</x:v>
      </x:c>
      <x:c r="P14" s="24" t="n">
        <x:v>1.95</x:v>
      </x:c>
      <x:c r="Q14" s="26" t="n">
        <x:v>0.10334185957289142</x:v>
      </x:c>
      <x:c r="R14" s="24" t="n">
        <x:f>O14*P14*Q14</x:f>
        <x:v>50.37915654178457</x:v>
      </x:c>
      <x:c r="S14" s="24" t="n">
        <x:f>P14*(1-Q14)</x:f>
        <x:v>1.7484833738328616</x:v>
      </x:c>
      <x:c r="T14" s="24" t="n">
        <x:f>O14*S14</x:f>
        <x:v>437.1208434582154</x:v>
      </x:c>
      <x:c r="U14" t="str">
        <x:v>NORTE</x:v>
      </x:c>
      <x:c r="V14" t="str">
        <x:v>Farmacia Norte</x:v>
      </x:c>
      <x:c r="W14" t="str">
        <x:v>Zona Norte</x:v>
      </x:c>
      <x:c r="X14" t="str">
        <x:v>Quito</x:v>
      </x:c>
      <x:c r="Y14" s="32" t="str">
        <x:v>Av. 10 de Agosto N45-20</x:v>
      </x:c>
      <x:c r="Z14" s="22" t="n">
        <x:v>46059</x:v>
      </x:c>
      <x:c r="AA14" t="str">
        <x:v>Recibido</x:v>
      </x:c>
      <x:c r="AB14" t="str">
        <x:v>60 días crédito</x:v>
      </x:c>
      <x:c r="AC14" s="32" t="str"/>
    </x:row>
    <x:row r="15">
      <x:c r="A15" t="n">
        <x:v>14</x:v>
      </x:c>
      <x:c r="B15" s="22" t="n">
        <x:v>46328</x:v>
      </x:c>
      <x:c r="C15" t="str">
        <x:v>OC-2026-0014</x:v>
      </x:c>
      <x:c r="D15" t="str">
        <x:v>F-D001-202611-1346</x:v>
      </x:c>
      <x:c r="E15" t="str">
        <x:v>L2611-005-0014</x:v>
      </x:c>
      <x:c r="F15" t="str">
        <x:v>D001</x:v>
      </x:c>
      <x:c r="G15" s="32" t="str">
        <x:v>DistriFarma Andina S.A.</x:v>
      </x:c>
      <x:c r="H15" t="str">
        <x:v>MED005</x:v>
      </x:c>
      <x:c r="I15" s="32" t="str">
        <x:v>Loratadina 10 mg</x:v>
      </x:c>
      <x:c r="J15" s="32" t="str">
        <x:v>Antigripales</x:v>
      </x:c>
      <x:c r="K15" s="32" t="str">
        <x:v>Genfar</x:v>
      </x:c>
      <x:c r="L15" s="32" t="str">
        <x:v>Caja x 10 tabletas</x:v>
      </x:c>
      <x:c r="M15" s="28" t="n">
        <x:v>6</x:v>
      </x:c>
      <x:c r="N15" s="28" t="n">
        <x:v>60</x:v>
      </x:c>
      <x:c r="O15" s="28" t="n">
        <x:f>M15*N15</x:f>
        <x:v>360</x:v>
      </x:c>
      <x:c r="P15" s="24" t="n">
        <x:v>1</x:v>
      </x:c>
      <x:c r="Q15" s="26" t="n">
        <x:v>0.0818606806965986</x:v>
      </x:c>
      <x:c r="R15" s="24" t="n">
        <x:f>O15*P15*Q15</x:f>
        <x:v>29.469845050775497</x:v>
      </x:c>
      <x:c r="S15" s="24" t="n">
        <x:f>P15*(1-Q15)</x:f>
        <x:v>0.9181393193034014</x:v>
      </x:c>
      <x:c r="T15" s="24" t="n">
        <x:f>O15*S15</x:f>
        <x:v>330.53015494922454</x:v>
      </x:c>
      <x:c r="U15" t="str">
        <x:v>CENTRO</x:v>
      </x:c>
      <x:c r="V15" t="str">
        <x:v>Farmacia Centro Histórico</x:v>
      </x:c>
      <x:c r="W15" t="str">
        <x:v>Zona Centro</x:v>
      </x:c>
      <x:c r="X15" t="str">
        <x:v>Quito</x:v>
      </x:c>
      <x:c r="Y15" s="32" t="str">
        <x:v>Guayaquil y Chile</x:v>
      </x:c>
      <x:c r="Z15" s="22" t="n">
        <x:v>46330</x:v>
      </x:c>
      <x:c r="AA15" t="str">
        <x:v>Recibido</x:v>
      </x:c>
      <x:c r="AB15" t="str">
        <x:v>30 días crédito</x:v>
      </x:c>
      <x:c r="AC15" s="32" t="str"/>
    </x:row>
    <x:row r="16">
      <x:c r="A16" t="n">
        <x:v>15</x:v>
      </x:c>
      <x:c r="B16" s="22" t="n">
        <x:v>46366</x:v>
      </x:c>
      <x:c r="C16" t="str">
        <x:v>OC-2026-0015</x:v>
      </x:c>
      <x:c r="D16" t="str">
        <x:v>F-D007-202612-1838</x:v>
      </x:c>
      <x:c r="E16" t="str">
        <x:v>L2612-014-0015</x:v>
      </x:c>
      <x:c r="F16" t="str">
        <x:v>D007</x:v>
      </x:c>
      <x:c r="G16" s="32" t="str">
        <x:v>Comercializadora BioFarma</x:v>
      </x:c>
      <x:c r="H16" t="str">
        <x:v>MED014</x:v>
      </x:c>
      <x:c r="I16" s="32" t="str">
        <x:v>Crema antimicótica</x:v>
      </x:c>
      <x:c r="J16" s="32" t="str">
        <x:v>Dermatológicos</x:v>
      </x:c>
      <x:c r="K16" s="32" t="str">
        <x:v>Acromax</x:v>
      </x:c>
      <x:c r="L16" s="32" t="str">
        <x:v>Tubo 30 g</x:v>
      </x:c>
      <x:c r="M16" s="28" t="n">
        <x:v>60</x:v>
      </x:c>
      <x:c r="N16" s="28" t="n">
        <x:v>10</x:v>
      </x:c>
      <x:c r="O16" s="28" t="n">
        <x:f>M16*N16</x:f>
        <x:v>600</x:v>
      </x:c>
      <x:c r="P16" s="24" t="n">
        <x:v>2.56</x:v>
      </x:c>
      <x:c r="Q16" s="26" t="n">
        <x:v>0.06247064754450829</x:v>
      </x:c>
      <x:c r="R16" s="24" t="n">
        <x:f>O16*P16*Q16</x:f>
        <x:v>95.95491462836473</x:v>
      </x:c>
      <x:c r="S16" s="24" t="n">
        <x:f>P16*(1-Q16)</x:f>
        <x:v>2.400075142286059</x:v>
      </x:c>
      <x:c r="T16" s="24" t="n">
        <x:f>O16*S16</x:f>
        <x:v>1440.0450853716354</x:v>
      </x:c>
      <x:c r="U16" t="str">
        <x:v>VALLE</x:v>
      </x:c>
      <x:c r="V16" t="str">
        <x:v>Farmacia Valle de los Chillos</x:v>
      </x:c>
      <x:c r="W16" t="str">
        <x:v>Zona Valle</x:v>
      </x:c>
      <x:c r="X16" t="str">
        <x:v>Sangolquí</x:v>
      </x:c>
      <x:c r="Y16" s="32" t="str">
        <x:v>Av. Calderón 101</x:v>
      </x:c>
      <x:c r="Z16" s="22" t="n">
        <x:v>46367</x:v>
      </x:c>
      <x:c r="AA16" t="str">
        <x:v>Recibido</x:v>
      </x:c>
      <x:c r="AB16" t="str">
        <x:v>15 días crédito</x:v>
      </x:c>
      <x:c r="AC16" s="32" t="str"/>
    </x:row>
    <x:row r="17">
      <x:c r="A17" t="n">
        <x:v>16</x:v>
      </x:c>
      <x:c r="B17" s="22" t="n">
        <x:v>46129</x:v>
      </x:c>
      <x:c r="C17" t="str">
        <x:v>OC-2026-0016</x:v>
      </x:c>
      <x:c r="D17" t="str">
        <x:v>F-D004-202604-4322</x:v>
      </x:c>
      <x:c r="E17" t="str">
        <x:v>L2604-011-0016</x:v>
      </x:c>
      <x:c r="F17" t="str">
        <x:v>D004</x:v>
      </x:c>
      <x:c r="G17" s="32" t="str">
        <x:v>Distribuidora Salud Total</x:v>
      </x:c>
      <x:c r="H17" t="str">
        <x:v>MED011</x:v>
      </x:c>
      <x:c r="I17" s="32" t="str">
        <x:v>Jarabe antigripal</x:v>
      </x:c>
      <x:c r="J17" s="32" t="str">
        <x:v>Antigripales</x:v>
      </x:c>
      <x:c r="K17" s="32" t="str">
        <x:v>MEDICAMENTA</x:v>
      </x:c>
      <x:c r="L17" s="32" t="str">
        <x:v>Frasco 120 ml</x:v>
      </x:c>
      <x:c r="M17" s="28" t="n">
        <x:v>16</x:v>
      </x:c>
      <x:c r="N17" s="28" t="n">
        <x:v>30</x:v>
      </x:c>
      <x:c r="O17" s="28" t="n">
        <x:f>M17*N17</x:f>
        <x:v>480</x:v>
      </x:c>
      <x:c r="P17" s="24" t="n">
        <x:v>3.21</x:v>
      </x:c>
      <x:c r="Q17" s="26" t="n">
        <x:v>0.12403698396561026</x:v>
      </x:c>
      <x:c r="R17" s="24" t="n">
        <x:f>O17*P17*Q17</x:f>
        <x:v>191.1161848942123</x:v>
      </x:c>
      <x:c r="S17" s="24" t="n">
        <x:f>P17*(1-Q17)</x:f>
        <x:v>2.8118412814703913</x:v>
      </x:c>
      <x:c r="T17" s="24" t="n">
        <x:f>O17*S17</x:f>
        <x:v>1349.6838151057877</x:v>
      </x:c>
      <x:c r="U17" t="str">
        <x:v>VALLE</x:v>
      </x:c>
      <x:c r="V17" t="str">
        <x:v>Farmacia Valle de los Chillos</x:v>
      </x:c>
      <x:c r="W17" t="str">
        <x:v>Zona Valle</x:v>
      </x:c>
      <x:c r="X17" t="str">
        <x:v>Sangolquí</x:v>
      </x:c>
      <x:c r="Y17" s="32" t="str">
        <x:v>Av. Calderón 101</x:v>
      </x:c>
      <x:c r="Z17" s="22" t="n">
        <x:v>46130</x:v>
      </x:c>
      <x:c r="AA17" t="str">
        <x:v>Recibido</x:v>
      </x:c>
      <x:c r="AB17" t="str">
        <x:v>45 días crédito</x:v>
      </x:c>
      <x:c r="AC17" s="32" t="str">
        <x:v>Entrega coordinada fuera de horario regular</x:v>
      </x:c>
    </x:row>
    <x:row r="18">
      <x:c r="A18" t="n">
        <x:v>17</x:v>
      </x:c>
      <x:c r="B18" s="22" t="n">
        <x:v>46302</x:v>
      </x:c>
      <x:c r="C18" t="str">
        <x:v>OC-2026-0017</x:v>
      </x:c>
      <x:c r="D18" t="str">
        <x:v>F-D001-202610-8901</x:v>
      </x:c>
      <x:c r="E18" t="str">
        <x:v>L2610-001-0017</x:v>
      </x:c>
      <x:c r="F18" t="str">
        <x:v>D001</x:v>
      </x:c>
      <x:c r="G18" s="32" t="str">
        <x:v>DistriFarma Andina S.A.</x:v>
      </x:c>
      <x:c r="H18" t="str">
        <x:v>MED001</x:v>
      </x:c>
      <x:c r="I18" s="32" t="str">
        <x:v>Paracetamol 500 mg</x:v>
      </x:c>
      <x:c r="J18" s="32" t="str">
        <x:v>Analgésicos</x:v>
      </x:c>
      <x:c r="K18" s="32" t="str">
        <x:v>Genfar</x:v>
      </x:c>
      <x:c r="L18" s="32" t="str">
        <x:v>Caja x 20 tabletas</x:v>
      </x:c>
      <x:c r="M18" s="28" t="n">
        <x:v>18</x:v>
      </x:c>
      <x:c r="N18" s="28" t="n">
        <x:v>20</x:v>
      </x:c>
      <x:c r="O18" s="28" t="n">
        <x:f>M18*N18</x:f>
        <x:v>360</x:v>
      </x:c>
      <x:c r="P18" s="24" t="n">
        <x:v>0.91</x:v>
      </x:c>
      <x:c r="Q18" s="26" t="n">
        <x:v>0.07764592719366477</x:v>
      </x:c>
      <x:c r="R18" s="24" t="n">
        <x:f>O18*P18*Q18</x:f>
        <x:v>25.43680574864458</x:v>
      </x:c>
      <x:c r="S18" s="24" t="n">
        <x:f>P18*(1-Q18)</x:f>
        <x:v>0.8393422062537651</x:v>
      </x:c>
      <x:c r="T18" s="24" t="n">
        <x:f>O18*S18</x:f>
        <x:v>302.16319425135543</x:v>
      </x:c>
      <x:c r="U18" t="str">
        <x:v>VALLE</x:v>
      </x:c>
      <x:c r="V18" t="str">
        <x:v>Farmacia Valle de los Chillos</x:v>
      </x:c>
      <x:c r="W18" t="str">
        <x:v>Zona Valle</x:v>
      </x:c>
      <x:c r="X18" t="str">
        <x:v>Sangolquí</x:v>
      </x:c>
      <x:c r="Y18" s="32" t="str">
        <x:v>Av. Calderón 101</x:v>
      </x:c>
      <x:c r="Z18" s="22" t="n">
        <x:v>46305</x:v>
      </x:c>
      <x:c r="AA18" t="str">
        <x:v>Recibido</x:v>
      </x:c>
      <x:c r="AB18" t="str">
        <x:v>30 días crédito</x:v>
      </x:c>
      <x:c r="AC18" s="32" t="str">
        <x:v>Entrega coordinada fuera de horario regular</x:v>
      </x:c>
    </x:row>
    <x:row r="19">
      <x:c r="A19" t="n">
        <x:v>18</x:v>
      </x:c>
      <x:c r="B19" s="22" t="n">
        <x:v>46362</x:v>
      </x:c>
      <x:c r="C19" t="str">
        <x:v>OC-2026-0018</x:v>
      </x:c>
      <x:c r="D19" t="str">
        <x:v>F-D002-202612-5180</x:v>
      </x:c>
      <x:c r="E19" t="str">
        <x:v>L2612-006-0018</x:v>
      </x:c>
      <x:c r="F19" t="str">
        <x:v>D002</x:v>
      </x:c>
      <x:c r="G19" s="32" t="str">
        <x:v>MedSupply Ecuador Cía. Ltda.</x:v>
      </x:c>
      <x:c r="H19" t="str">
        <x:v>MED006</x:v>
      </x:c>
      <x:c r="I19" s="32" t="str">
        <x:v>Vitamina C 1 g</x:v>
      </x:c>
      <x:c r="J19" s="32" t="str">
        <x:v>Vitaminas</x:v>
      </x:c>
      <x:c r="K19" s="32" t="str">
        <x:v>Novartis</x:v>
      </x:c>
      <x:c r="L19" s="32" t="str">
        <x:v>Tubo x 10 efervescentes</x:v>
      </x:c>
      <x:c r="M19" s="28" t="n">
        <x:v>24</x:v>
      </x:c>
      <x:c r="N19" s="28" t="n">
        <x:v>10</x:v>
      </x:c>
      <x:c r="O19" s="28" t="n">
        <x:f>M19*N19</x:f>
        <x:v>240</x:v>
      </x:c>
      <x:c r="P19" s="24" t="n">
        <x:v>2.44</x:v>
      </x:c>
      <x:c r="Q19" s="26" t="n">
        <x:v>0.0721751728958092</x:v>
      </x:c>
      <x:c r="R19" s="24" t="n">
        <x:f>O19*P19*Q19</x:f>
        <x:v>42.26578124778587</x:v>
      </x:c>
      <x:c r="S19" s="24" t="n">
        <x:f>P19*(1-Q19)</x:f>
        <x:v>2.2638925781342256</x:v>
      </x:c>
      <x:c r="T19" s="24" t="n">
        <x:f>O19*S19</x:f>
        <x:v>543.3342187522142</x:v>
      </x:c>
      <x:c r="U19" t="str">
        <x:v>NORTE</x:v>
      </x:c>
      <x:c r="V19" t="str">
        <x:v>Farmacia Norte</x:v>
      </x:c>
      <x:c r="W19" t="str">
        <x:v>Zona Norte</x:v>
      </x:c>
      <x:c r="X19" t="str">
        <x:v>Quito</x:v>
      </x:c>
      <x:c r="Y19" s="32" t="str">
        <x:v>Av. 10 de Agosto N45-20</x:v>
      </x:c>
      <x:c r="Z19" s="22" t="n">
        <x:v>46364</x:v>
      </x:c>
      <x:c r="AA19" t="str">
        <x:v>Recibido</x:v>
      </x:c>
      <x:c r="AB19" t="str">
        <x:v>15 días crédito</x:v>
      </x:c>
      <x:c r="AC19" s="32" t="str"/>
    </x:row>
    <x:row r="20">
      <x:c r="A20" t="n">
        <x:v>19</x:v>
      </x:c>
      <x:c r="B20" s="22" t="n">
        <x:v>46149</x:v>
      </x:c>
      <x:c r="C20" t="str">
        <x:v>OC-2026-0019</x:v>
      </x:c>
      <x:c r="D20" t="str">
        <x:v>F-D008-202605-5832</x:v>
      </x:c>
      <x:c r="E20" t="str">
        <x:v>L2605-005-0019</x:v>
      </x:c>
      <x:c r="F20" t="str">
        <x:v>D008</x:v>
      </x:c>
      <x:c r="G20" s="32" t="str">
        <x:v>Mayorista MedicPlus</x:v>
      </x:c>
      <x:c r="H20" t="str">
        <x:v>MED005</x:v>
      </x:c>
      <x:c r="I20" s="32" t="str">
        <x:v>Loratadina 10 mg</x:v>
      </x:c>
      <x:c r="J20" s="32" t="str">
        <x:v>Antigripales</x:v>
      </x:c>
      <x:c r="K20" s="32" t="str">
        <x:v>Genfar</x:v>
      </x:c>
      <x:c r="L20" s="32" t="str">
        <x:v>Caja x 10 tabletas</x:v>
      </x:c>
      <x:c r="M20" s="28" t="n">
        <x:v>16</x:v>
      </x:c>
      <x:c r="N20" s="28" t="n">
        <x:v>30</x:v>
      </x:c>
      <x:c r="O20" s="28" t="n">
        <x:f>M20*N20</x:f>
        <x:v>480</x:v>
      </x:c>
      <x:c r="P20" s="24" t="n">
        <x:v>1.11</x:v>
      </x:c>
      <x:c r="Q20" s="26" t="n">
        <x:v>0.12279020556019876</x:v>
      </x:c>
      <x:c r="R20" s="24" t="n">
        <x:f>O20*P20*Q20</x:f>
        <x:v>65.4226215224739</x:v>
      </x:c>
      <x:c r="S20" s="24" t="n">
        <x:f>P20*(1-Q20)</x:f>
        <x:v>0.9737028718281794</x:v>
      </x:c>
      <x:c r="T20" s="24" t="n">
        <x:f>O20*S20</x:f>
        <x:v>467.3773784775261</x:v>
      </x:c>
      <x:c r="U20" t="str">
        <x:v>VALLE</x:v>
      </x:c>
      <x:c r="V20" t="str">
        <x:v>Farmacia Valle de los Chillos</x:v>
      </x:c>
      <x:c r="W20" t="str">
        <x:v>Zona Valle</x:v>
      </x:c>
      <x:c r="X20" t="str">
        <x:v>Sangolquí</x:v>
      </x:c>
      <x:c r="Y20" s="32" t="str">
        <x:v>Av. Calderón 101</x:v>
      </x:c>
      <x:c r="Z20" s="22" t="n">
        <x:v>46150</x:v>
      </x:c>
      <x:c r="AA20" t="str">
        <x:v>Recibido</x:v>
      </x:c>
      <x:c r="AB20" t="str">
        <x:v>30 días crédito</x:v>
      </x:c>
      <x:c r="AC20" s="32" t="str"/>
    </x:row>
    <x:row r="21">
      <x:c r="A21" t="n">
        <x:v>20</x:v>
      </x:c>
      <x:c r="B21" s="22" t="n">
        <x:v>45923</x:v>
      </x:c>
      <x:c r="C21" t="str">
        <x:v>OC-2025-0020</x:v>
      </x:c>
      <x:c r="D21" t="str">
        <x:v>F-D005-202509-8941</x:v>
      </x:c>
      <x:c r="E21" t="str">
        <x:v>L2509-010-0020</x:v>
      </x:c>
      <x:c r="F21" t="str">
        <x:v>D005</x:v>
      </x:c>
      <x:c r="G21" s="32" t="str">
        <x:v>PharmaExpress Quito</x:v>
      </x:c>
      <x:c r="H21" t="str">
        <x:v>MED010</x:v>
      </x:c>
      <x:c r="I21" s="32" t="str">
        <x:v>Aspirina 100 mg</x:v>
      </x:c>
      <x:c r="J21" s="32" t="str">
        <x:v>Cardiovasculares</x:v>
      </x:c>
      <x:c r="K21" s="32" t="str">
        <x:v>Bayer</x:v>
      </x:c>
      <x:c r="L21" s="32" t="str">
        <x:v>Caja x 30 tabletas</x:v>
      </x:c>
      <x:c r="M21" s="28" t="n">
        <x:v>4</x:v>
      </x:c>
      <x:c r="N21" s="28" t="n">
        <x:v>50</x:v>
      </x:c>
      <x:c r="O21" s="28" t="n">
        <x:f>M21*N21</x:f>
        <x:v>200</x:v>
      </x:c>
      <x:c r="P21" s="24" t="n">
        <x:v>1.4</x:v>
      </x:c>
      <x:c r="Q21" s="26" t="n">
        <x:v>0.06726742926936463</x:v>
      </x:c>
      <x:c r="R21" s="24" t="n">
        <x:f>O21*P21*Q21</x:f>
        <x:v>18.834880195422098</x:v>
      </x:c>
      <x:c r="S21" s="24" t="n">
        <x:f>P21*(1-Q21)</x:f>
        <x:v>1.3058255990228893</x:v>
      </x:c>
      <x:c r="T21" s="24" t="n">
        <x:f>O21*S21</x:f>
        <x:v>261.16511980457784</x:v>
      </x:c>
      <x:c r="U21" t="str">
        <x:v>NORTE</x:v>
      </x:c>
      <x:c r="V21" t="str">
        <x:v>Farmacia Norte</x:v>
      </x:c>
      <x:c r="W21" t="str">
        <x:v>Zona Norte</x:v>
      </x:c>
      <x:c r="X21" t="str">
        <x:v>Quito</x:v>
      </x:c>
      <x:c r="Y21" s="32" t="str">
        <x:v>Av. 10 de Agosto N45-20</x:v>
      </x:c>
      <x:c r="Z21" s="22" t="n">
        <x:v>45924</x:v>
      </x:c>
      <x:c r="AA21" t="str">
        <x:v>Recibido</x:v>
      </x:c>
      <x:c r="AB21" t="str">
        <x:v>30 días crédito</x:v>
      </x:c>
      <x:c r="AC21" s="32" t="str"/>
    </x:row>
    <x:row r="22">
      <x:c r="A22" t="n">
        <x:v>21</x:v>
      </x:c>
      <x:c r="B22" s="22" t="n">
        <x:v>45942</x:v>
      </x:c>
      <x:c r="C22" t="str">
        <x:v>OC-2025-0021</x:v>
      </x:c>
      <x:c r="D22" t="str">
        <x:v>F-D006-202510-7907</x:v>
      </x:c>
      <x:c r="E22" t="str">
        <x:v>L2510-010-0021</x:v>
      </x:c>
      <x:c r="F22" t="str">
        <x:v>D006</x:v>
      </x:c>
      <x:c r="G22" s="32" t="str">
        <x:v>Insumos Médicos del Pacífico</x:v>
      </x:c>
      <x:c r="H22" t="str">
        <x:v>MED010</x:v>
      </x:c>
      <x:c r="I22" s="32" t="str">
        <x:v>Aspirina 100 mg</x:v>
      </x:c>
      <x:c r="J22" s="32" t="str">
        <x:v>Cardiovasculares</x:v>
      </x:c>
      <x:c r="K22" s="32" t="str">
        <x:v>Bayer</x:v>
      </x:c>
      <x:c r="L22" s="32" t="str">
        <x:v>Caja x 30 tabletas</x:v>
      </x:c>
      <x:c r="M22" s="28" t="n">
        <x:v>3</x:v>
      </x:c>
      <x:c r="N22" s="28" t="n">
        <x:v>50</x:v>
      </x:c>
      <x:c r="O22" s="28" t="n">
        <x:f>M22*N22</x:f>
        <x:v>150</x:v>
      </x:c>
      <x:c r="P22" s="24" t="n">
        <x:v>1.6</x:v>
      </x:c>
      <x:c r="Q22" s="26" t="n">
        <x:v>0.11957439670022668</x:v>
      </x:c>
      <x:c r="R22" s="24" t="n">
        <x:f>O22*P22*Q22</x:f>
        <x:v>28.697855208054403</x:v>
      </x:c>
      <x:c r="S22" s="24" t="n">
        <x:f>P22*(1-Q22)</x:f>
        <x:v>1.4086809652796373</x:v>
      </x:c>
      <x:c r="T22" s="24" t="n">
        <x:f>O22*S22</x:f>
        <x:v>211.30214479194558</x:v>
      </x:c>
      <x:c r="U22" t="str">
        <x:v>SUR</x:v>
      </x:c>
      <x:c r="V22" t="str">
        <x:v>Farmacia del Sur</x:v>
      </x:c>
      <x:c r="W22" t="str">
        <x:v>Zona Sur</x:v>
      </x:c>
      <x:c r="X22" t="str">
        <x:v>Quito</x:v>
      </x:c>
      <x:c r="Y22" s="32" t="str">
        <x:v>Av. Maldonado S25-10</x:v>
      </x:c>
      <x:c r="Z22" s="22" t="n">
        <x:v>45943</x:v>
      </x:c>
      <x:c r="AA22" t="str">
        <x:v>Recibido</x:v>
      </x:c>
      <x:c r="AB22" t="str">
        <x:v>60 días crédito</x:v>
      </x:c>
      <x:c r="AC22" s="32" t="str"/>
    </x:row>
    <x:row r="23">
      <x:c r="A23" t="n">
        <x:v>22</x:v>
      </x:c>
      <x:c r="B23" s="22" t="n">
        <x:v>45896</x:v>
      </x:c>
      <x:c r="C23" t="str">
        <x:v>OC-2025-0022</x:v>
      </x:c>
      <x:c r="D23" t="str">
        <x:v>F-D002-202508-4313</x:v>
      </x:c>
      <x:c r="E23" t="str">
        <x:v>L2508-010-0022</x:v>
      </x:c>
      <x:c r="F23" t="str">
        <x:v>D002</x:v>
      </x:c>
      <x:c r="G23" s="32" t="str">
        <x:v>MedSupply Ecuador Cía. Ltda.</x:v>
      </x:c>
      <x:c r="H23" t="str">
        <x:v>MED010</x:v>
      </x:c>
      <x:c r="I23" s="32" t="str">
        <x:v>Aspirina 100 mg</x:v>
      </x:c>
      <x:c r="J23" s="32" t="str">
        <x:v>Cardiovasculares</x:v>
      </x:c>
      <x:c r="K23" s="32" t="str">
        <x:v>Bayer</x:v>
      </x:c>
      <x:c r="L23" s="32" t="str">
        <x:v>Caja x 30 tabletas</x:v>
      </x:c>
      <x:c r="M23" s="28" t="n">
        <x:v>2</x:v>
      </x:c>
      <x:c r="N23" s="28" t="n">
        <x:v>30</x:v>
      </x:c>
      <x:c r="O23" s="28" t="n">
        <x:f>M23*N23</x:f>
        <x:v>60</x:v>
      </x:c>
      <x:c r="P23" s="24" t="n">
        <x:v>1.61</x:v>
      </x:c>
      <x:c r="Q23" s="26" t="n">
        <x:v>0.060935684034984436</x:v>
      </x:c>
      <x:c r="R23" s="24" t="n">
        <x:f>O23*P23*Q23</x:f>
        <x:v>5.886387077779497</x:v>
      </x:c>
      <x:c r="S23" s="24" t="n">
        <x:f>P23*(1-Q23)</x:f>
        <x:v>1.5118935487036753</x:v>
      </x:c>
      <x:c r="T23" s="24" t="n">
        <x:f>O23*S23</x:f>
        <x:v>90.71361292222052</x:v>
      </x:c>
      <x:c r="U23" t="str">
        <x:v>SUR</x:v>
      </x:c>
      <x:c r="V23" t="str">
        <x:v>Farmacia del Sur</x:v>
      </x:c>
      <x:c r="W23" t="str">
        <x:v>Zona Sur</x:v>
      </x:c>
      <x:c r="X23" t="str">
        <x:v>Quito</x:v>
      </x:c>
      <x:c r="Y23" s="32" t="str">
        <x:v>Av. Maldonado S25-10</x:v>
      </x:c>
      <x:c r="Z23" s="22" t="n">
        <x:v>45898</x:v>
      </x:c>
      <x:c r="AA23" t="str">
        <x:v>Recibido</x:v>
      </x:c>
      <x:c r="AB23" t="str">
        <x:v>15 días crédito</x:v>
      </x:c>
      <x:c r="AC23" s="32" t="str"/>
    </x:row>
    <x:row r="24">
      <x:c r="A24" t="n">
        <x:v>23</x:v>
      </x:c>
      <x:c r="B24" s="22" t="n">
        <x:v>45824</x:v>
      </x:c>
      <x:c r="C24" t="str">
        <x:v>OC-2025-0023</x:v>
      </x:c>
      <x:c r="D24" t="str">
        <x:v>F-D003-202506-9823</x:v>
      </x:c>
      <x:c r="E24" t="str">
        <x:v>L2506-002-0023</x:v>
      </x:c>
      <x:c r="F24" t="str">
        <x:v>D003</x:v>
      </x:c>
      <x:c r="G24" s="32" t="str">
        <x:v>FarmaLogística Sierra</x:v>
      </x:c>
      <x:c r="H24" t="str">
        <x:v>MED002</x:v>
      </x:c>
      <x:c r="I24" s="32" t="str">
        <x:v>Ibuprofeno 400 mg</x:v>
      </x:c>
      <x:c r="J24" s="32" t="str">
        <x:v>Analgésicos</x:v>
      </x:c>
      <x:c r="K24" s="32" t="str">
        <x:v>La Santé</x:v>
      </x:c>
      <x:c r="L24" s="32" t="str">
        <x:v>Caja x 20 tabletas</x:v>
      </x:c>
      <x:c r="M24" s="28" t="n">
        <x:v>9</x:v>
      </x:c>
      <x:c r="N24" s="28" t="n">
        <x:v>24</x:v>
      </x:c>
      <x:c r="O24" s="28" t="n">
        <x:f>M24*N24</x:f>
        <x:v>216</x:v>
      </x:c>
      <x:c r="P24" s="24" t="n">
        <x:v>1.22</x:v>
      </x:c>
      <x:c r="Q24" s="26" t="n">
        <x:v>0.01724954220855911</x:v>
      </x:c>
      <x:c r="R24" s="24" t="n">
        <x:f>O24*P24*Q24</x:f>
        <x:v>4.545599362799496</x:v>
      </x:c>
      <x:c r="S24" s="24" t="n">
        <x:f>P24*(1-Q24)</x:f>
        <x:v>1.1989555585055578</x:v>
      </x:c>
      <x:c r="T24" s="24" t="n">
        <x:f>O24*S24</x:f>
        <x:v>258.97440063720046</x:v>
      </x:c>
      <x:c r="U24" t="str">
        <x:v>SUR</x:v>
      </x:c>
      <x:c r="V24" t="str">
        <x:v>Farmacia del Sur</x:v>
      </x:c>
      <x:c r="W24" t="str">
        <x:v>Zona Sur</x:v>
      </x:c>
      <x:c r="X24" t="str">
        <x:v>Quito</x:v>
      </x:c>
      <x:c r="Y24" s="32" t="str">
        <x:v>Av. Maldonado S25-10</x:v>
      </x:c>
      <x:c r="Z24" s="22" t="n">
        <x:v>45825</x:v>
      </x:c>
      <x:c r="AA24" t="str">
        <x:v>Recibido</x:v>
      </x:c>
      <x:c r="AB24" t="str">
        <x:v>Contado contra entrega</x:v>
      </x:c>
      <x:c r="AC24" s="32" t="str"/>
    </x:row>
    <x:row r="25">
      <x:c r="A25" t="n">
        <x:v>24</x:v>
      </x:c>
      <x:c r="B25" s="22" t="n">
        <x:v>46342</x:v>
      </x:c>
      <x:c r="C25" t="str">
        <x:v>OC-2026-0024</x:v>
      </x:c>
      <x:c r="D25" t="str">
        <x:v>F-D007-202611-6456</x:v>
      </x:c>
      <x:c r="E25" t="str">
        <x:v>L2611-006-0024</x:v>
      </x:c>
      <x:c r="F25" t="str">
        <x:v>D007</x:v>
      </x:c>
      <x:c r="G25" s="32" t="str">
        <x:v>Comercializadora BioFarma</x:v>
      </x:c>
      <x:c r="H25" t="str">
        <x:v>MED006</x:v>
      </x:c>
      <x:c r="I25" s="32" t="str">
        <x:v>Vitamina C 1 g</x:v>
      </x:c>
      <x:c r="J25" s="32" t="str">
        <x:v>Vitaminas</x:v>
      </x:c>
      <x:c r="K25" s="32" t="str">
        <x:v>Novartis</x:v>
      </x:c>
      <x:c r="L25" s="32" t="str">
        <x:v>Tubo x 10 efervescentes</x:v>
      </x:c>
      <x:c r="M25" s="28" t="n">
        <x:v>10</x:v>
      </x:c>
      <x:c r="N25" s="28" t="n">
        <x:v>30</x:v>
      </x:c>
      <x:c r="O25" s="28" t="n">
        <x:f>M25*N25</x:f>
        <x:v>300</x:v>
      </x:c>
      <x:c r="P25" s="24" t="n">
        <x:v>2.47</x:v>
      </x:c>
      <x:c r="Q25" s="26" t="n">
        <x:v>0.07151445334343207</x:v>
      </x:c>
      <x:c r="R25" s="24" t="n">
        <x:f>O25*P25*Q25</x:f>
        <x:v>52.99220992748317</x:v>
      </x:c>
      <x:c r="S25" s="24" t="n">
        <x:f>P25*(1-Q25)</x:f>
        <x:v>2.2933593002417227</x:v>
      </x:c>
      <x:c r="T25" s="24" t="n">
        <x:f>O25*S25</x:f>
        <x:v>688.0077900725169</x:v>
      </x:c>
      <x:c r="U25" t="str">
        <x:v>NORTE</x:v>
      </x:c>
      <x:c r="V25" t="str">
        <x:v>Farmacia Norte</x:v>
      </x:c>
      <x:c r="W25" t="str">
        <x:v>Zona Norte</x:v>
      </x:c>
      <x:c r="X25" t="str">
        <x:v>Quito</x:v>
      </x:c>
      <x:c r="Y25" s="32" t="str">
        <x:v>Av. 10 de Agosto N45-20</x:v>
      </x:c>
      <x:c r="Z25" s="22" t="n">
        <x:v>46344</x:v>
      </x:c>
      <x:c r="AA25" t="str">
        <x:v>Recibido</x:v>
      </x:c>
      <x:c r="AB25" t="str">
        <x:v>15 días crédito</x:v>
      </x:c>
      <x:c r="AC25" s="32" t="str"/>
    </x:row>
    <x:row r="26">
      <x:c r="A26" t="n">
        <x:v>25</x:v>
      </x:c>
      <x:c r="B26" s="22" t="n">
        <x:v>46349</x:v>
      </x:c>
      <x:c r="C26" t="str">
        <x:v>OC-2026-0025</x:v>
      </x:c>
      <x:c r="D26" t="str">
        <x:v>F-D008-202611-6607</x:v>
      </x:c>
      <x:c r="E26" t="str">
        <x:v>L2611-001-0025</x:v>
      </x:c>
      <x:c r="F26" t="str">
        <x:v>D008</x:v>
      </x:c>
      <x:c r="G26" s="32" t="str">
        <x:v>Mayorista MedicPlus</x:v>
      </x:c>
      <x:c r="H26" t="str">
        <x:v>MED001</x:v>
      </x:c>
      <x:c r="I26" s="32" t="str">
        <x:v>Paracetamol 500 mg</x:v>
      </x:c>
      <x:c r="J26" s="32" t="str">
        <x:v>Analgésicos</x:v>
      </x:c>
      <x:c r="K26" s="32" t="str">
        <x:v>Genfar</x:v>
      </x:c>
      <x:c r="L26" s="32" t="str">
        <x:v>Caja x 20 tabletas</x:v>
      </x:c>
      <x:c r="M26" s="28" t="n">
        <x:v>4</x:v>
      </x:c>
      <x:c r="N26" s="28" t="n">
        <x:v>30</x:v>
      </x:c>
      <x:c r="O26" s="28" t="n">
        <x:f>M26*N26</x:f>
        <x:v>120</x:v>
      </x:c>
      <x:c r="P26" s="24" t="n">
        <x:v>0.88</x:v>
      </x:c>
      <x:c r="Q26" s="26" t="n">
        <x:v>0.09002020666296409</x:v>
      </x:c>
      <x:c r="R26" s="24" t="n">
        <x:f>O26*P26*Q26</x:f>
        <x:v>9.506133823609007</x:v>
      </x:c>
      <x:c r="S26" s="24" t="n">
        <x:f>P26*(1-Q26)</x:f>
        <x:v>0.8007822181365917</x:v>
      </x:c>
      <x:c r="T26" s="24" t="n">
        <x:f>O26*S26</x:f>
        <x:v>96.093866176391</x:v>
      </x:c>
      <x:c r="U26" t="str">
        <x:v>CENTRO</x:v>
      </x:c>
      <x:c r="V26" t="str">
        <x:v>Farmacia Centro Histórico</x:v>
      </x:c>
      <x:c r="W26" t="str">
        <x:v>Zona Centro</x:v>
      </x:c>
      <x:c r="X26" t="str">
        <x:v>Quito</x:v>
      </x:c>
      <x:c r="Y26" s="32" t="str">
        <x:v>Guayaquil y Chile</x:v>
      </x:c>
      <x:c r="Z26" s="22" t="n">
        <x:v>46350</x:v>
      </x:c>
      <x:c r="AA26" t="str">
        <x:v>Recibido</x:v>
      </x:c>
      <x:c r="AB26" t="str">
        <x:v>30 días crédito</x:v>
      </x:c>
      <x:c r="AC26" s="32" t="str"/>
    </x:row>
    <x:row r="27">
      <x:c r="A27" t="n">
        <x:v>26</x:v>
      </x:c>
      <x:c r="B27" s="22" t="n">
        <x:v>46243</x:v>
      </x:c>
      <x:c r="C27" t="str">
        <x:v>OC-2026-0026</x:v>
      </x:c>
      <x:c r="D27" t="str">
        <x:v>F-D001-202608-2682</x:v>
      </x:c>
      <x:c r="E27" t="str">
        <x:v>L2608-005-0026</x:v>
      </x:c>
      <x:c r="F27" t="str">
        <x:v>D001</x:v>
      </x:c>
      <x:c r="G27" s="32" t="str">
        <x:v>DistriFarma Andina S.A.</x:v>
      </x:c>
      <x:c r="H27" t="str">
        <x:v>MED005</x:v>
      </x:c>
      <x:c r="I27" s="32" t="str">
        <x:v>Loratadina 10 mg</x:v>
      </x:c>
      <x:c r="J27" s="32" t="str">
        <x:v>Antigripales</x:v>
      </x:c>
      <x:c r="K27" s="32" t="str">
        <x:v>Genfar</x:v>
      </x:c>
      <x:c r="L27" s="32" t="str">
        <x:v>Caja x 10 tabletas</x:v>
      </x:c>
      <x:c r="M27" s="28" t="n">
        <x:v>15</x:v>
      </x:c>
      <x:c r="N27" s="28" t="n">
        <x:v>50</x:v>
      </x:c>
      <x:c r="O27" s="28" t="n">
        <x:f>M27*N27</x:f>
        <x:v>750</x:v>
      </x:c>
      <x:c r="P27" s="24" t="n">
        <x:v>1.16</x:v>
      </x:c>
      <x:c r="Q27" s="26" t="n">
        <x:v>0.08228068933806887</x:v>
      </x:c>
      <x:c r="R27" s="24" t="n">
        <x:f>O27*P27*Q27</x:f>
        <x:v>71.58419972411991</x:v>
      </x:c>
      <x:c r="S27" s="24" t="n">
        <x:f>P27*(1-Q27)</x:f>
        <x:v>1.06455440036784</x:v>
      </x:c>
      <x:c r="T27" s="24" t="n">
        <x:f>O27*S27</x:f>
        <x:v>798.41580027588</x:v>
      </x:c>
      <x:c r="U27" t="str">
        <x:v>CENTRO</x:v>
      </x:c>
      <x:c r="V27" t="str">
        <x:v>Farmacia Centro Histórico</x:v>
      </x:c>
      <x:c r="W27" t="str">
        <x:v>Zona Centro</x:v>
      </x:c>
      <x:c r="X27" t="str">
        <x:v>Quito</x:v>
      </x:c>
      <x:c r="Y27" s="32" t="str">
        <x:v>Guayaquil y Chile</x:v>
      </x:c>
      <x:c r="Z27" s="22" t="n">
        <x:v>46246</x:v>
      </x:c>
      <x:c r="AA27" t="str">
        <x:v>Recibido</x:v>
      </x:c>
      <x:c r="AB27" t="str">
        <x:v>30 días crédito</x:v>
      </x:c>
      <x:c r="AC27" s="32" t="str"/>
    </x:row>
    <x:row r="28">
      <x:c r="A28" t="n">
        <x:v>27</x:v>
      </x:c>
      <x:c r="B28" s="22" t="n">
        <x:v>46303</x:v>
      </x:c>
      <x:c r="C28" t="str">
        <x:v>OC-2026-0027</x:v>
      </x:c>
      <x:c r="D28" t="str">
        <x:v>F-D001-202610-9099</x:v>
      </x:c>
      <x:c r="E28" t="str">
        <x:v>L2610-011-0027</x:v>
      </x:c>
      <x:c r="F28" t="str">
        <x:v>D001</x:v>
      </x:c>
      <x:c r="G28" s="32" t="str">
        <x:v>DistriFarma Andina S.A.</x:v>
      </x:c>
      <x:c r="H28" t="str">
        <x:v>MED011</x:v>
      </x:c>
      <x:c r="I28" s="32" t="str">
        <x:v>Jarabe antigripal</x:v>
      </x:c>
      <x:c r="J28" s="32" t="str">
        <x:v>Antigripales</x:v>
      </x:c>
      <x:c r="K28" s="32" t="str">
        <x:v>MEDICAMENTA</x:v>
      </x:c>
      <x:c r="L28" s="32" t="str">
        <x:v>Frasco 120 ml</x:v>
      </x:c>
      <x:c r="M28" s="28" t="n">
        <x:v>18</x:v>
      </x:c>
      <x:c r="N28" s="28" t="n">
        <x:v>10</x:v>
      </x:c>
      <x:c r="O28" s="28" t="n">
        <x:f>M28*N28</x:f>
        <x:v>180</x:v>
      </x:c>
      <x:c r="P28" s="24" t="n">
        <x:v>2.66</x:v>
      </x:c>
      <x:c r="Q28" s="26" t="n">
        <x:v>0.08916696713077872</x:v>
      </x:c>
      <x:c r="R28" s="24" t="n">
        <x:f>O28*P28*Q28</x:f>
        <x:v>42.69314386221685</x:v>
      </x:c>
      <x:c r="S28" s="24" t="n">
        <x:f>P28*(1-Q28)</x:f>
        <x:v>2.4228158674321287</x:v>
      </x:c>
      <x:c r="T28" s="24" t="n">
        <x:f>O28*S28</x:f>
        <x:v>436.10685613778315</x:v>
      </x:c>
      <x:c r="U28" t="str">
        <x:v>CENTRO</x:v>
      </x:c>
      <x:c r="V28" t="str">
        <x:v>Farmacia Centro Histórico</x:v>
      </x:c>
      <x:c r="W28" t="str">
        <x:v>Zona Centro</x:v>
      </x:c>
      <x:c r="X28" t="str">
        <x:v>Quito</x:v>
      </x:c>
      <x:c r="Y28" s="32" t="str">
        <x:v>Guayaquil y Chile</x:v>
      </x:c>
      <x:c r="Z28" s="22" t="n">
        <x:v>46307</x:v>
      </x:c>
      <x:c r="AA28" t="str">
        <x:v>Recibido</x:v>
      </x:c>
      <x:c r="AB28" t="str">
        <x:v>30 días crédito</x:v>
      </x:c>
      <x:c r="AC28" s="32" t="str"/>
    </x:row>
    <x:row r="29">
      <x:c r="A29" t="n">
        <x:v>28</x:v>
      </x:c>
      <x:c r="B29" s="22" t="n">
        <x:v>46288</x:v>
      </x:c>
      <x:c r="C29" t="str">
        <x:v>OC-2026-0028</x:v>
      </x:c>
      <x:c r="D29" t="str">
        <x:v>F-D002-202609-8311</x:v>
      </x:c>
      <x:c r="E29" t="str">
        <x:v>L2609-006-0028</x:v>
      </x:c>
      <x:c r="F29" t="str">
        <x:v>D002</x:v>
      </x:c>
      <x:c r="G29" s="32" t="str">
        <x:v>MedSupply Ecuador Cía. Ltda.</x:v>
      </x:c>
      <x:c r="H29" t="str">
        <x:v>MED006</x:v>
      </x:c>
      <x:c r="I29" s="32" t="str">
        <x:v>Vitamina C 1 g</x:v>
      </x:c>
      <x:c r="J29" s="32" t="str">
        <x:v>Vitaminas</x:v>
      </x:c>
      <x:c r="K29" s="32" t="str">
        <x:v>Novartis</x:v>
      </x:c>
      <x:c r="L29" s="32" t="str">
        <x:v>Tubo x 10 efervescentes</x:v>
      </x:c>
      <x:c r="M29" s="28" t="n">
        <x:v>6</x:v>
      </x:c>
      <x:c r="N29" s="28" t="n">
        <x:v>50</x:v>
      </x:c>
      <x:c r="O29" s="28" t="n">
        <x:f>M29*N29</x:f>
        <x:v>300</x:v>
      </x:c>
      <x:c r="P29" s="24" t="n">
        <x:v>2.53</x:v>
      </x:c>
      <x:c r="Q29" s="26" t="n">
        <x:v>0.07721158778563487</x:v>
      </x:c>
      <x:c r="R29" s="24" t="n">
        <x:f>O29*P29*Q29</x:f>
        <x:v>58.60359512929686</x:v>
      </x:c>
      <x:c r="S29" s="24" t="n">
        <x:f>P29*(1-Q29)</x:f>
        <x:v>2.3346546829023436</x:v>
      </x:c>
      <x:c r="T29" s="24" t="n">
        <x:f>O29*S29</x:f>
        <x:v>700.3964048707031</x:v>
      </x:c>
      <x:c r="U29" t="str">
        <x:v>CENTRO</x:v>
      </x:c>
      <x:c r="V29" t="str">
        <x:v>Farmacia Centro Histórico</x:v>
      </x:c>
      <x:c r="W29" t="str">
        <x:v>Zona Centro</x:v>
      </x:c>
      <x:c r="X29" t="str">
        <x:v>Quito</x:v>
      </x:c>
      <x:c r="Y29" s="32" t="str">
        <x:v>Guayaquil y Chile</x:v>
      </x:c>
      <x:c r="Z29" s="22" t="n">
        <x:v>46290</x:v>
      </x:c>
      <x:c r="AA29" t="str">
        <x:v>Recibido</x:v>
      </x:c>
      <x:c r="AB29" t="str">
        <x:v>15 días crédito</x:v>
      </x:c>
      <x:c r="AC29" s="32" t="str"/>
    </x:row>
    <x:row r="30">
      <x:c r="A30" t="n">
        <x:v>29</x:v>
      </x:c>
      <x:c r="B30" s="22" t="n">
        <x:v>45694</x:v>
      </x:c>
      <x:c r="C30" t="str">
        <x:v>OC-2025-0029</x:v>
      </x:c>
      <x:c r="D30" t="str">
        <x:v>F-D005-202502-6317</x:v>
      </x:c>
      <x:c r="E30" t="str">
        <x:v>L2502-005-0029</x:v>
      </x:c>
      <x:c r="F30" t="str">
        <x:v>D005</x:v>
      </x:c>
      <x:c r="G30" s="32" t="str">
        <x:v>PharmaExpress Quito</x:v>
      </x:c>
      <x:c r="H30" t="str">
        <x:v>MED005</x:v>
      </x:c>
      <x:c r="I30" s="32" t="str">
        <x:v>Loratadina 10 mg</x:v>
      </x:c>
      <x:c r="J30" s="32" t="str">
        <x:v>Antigripales</x:v>
      </x:c>
      <x:c r="K30" s="32" t="str">
        <x:v>Genfar</x:v>
      </x:c>
      <x:c r="L30" s="32" t="str">
        <x:v>Caja x 10 tabletas</x:v>
      </x:c>
      <x:c r="M30" s="28" t="n">
        <x:v>12</x:v>
      </x:c>
      <x:c r="N30" s="28" t="n">
        <x:v>20</x:v>
      </x:c>
      <x:c r="O30" s="28" t="n">
        <x:f>M30*N30</x:f>
        <x:v>240</x:v>
      </x:c>
      <x:c r="P30" s="24" t="n">
        <x:v>1.08</x:v>
      </x:c>
      <x:c r="Q30" s="26" t="n">
        <x:v>0.05720640248141854</x:v>
      </x:c>
      <x:c r="R30" s="24" t="n">
        <x:f>O30*P30*Q30</x:f>
        <x:v>14.827899523183689</x:v>
      </x:c>
      <x:c r="S30" s="24" t="n">
        <x:f>P30*(1-Q30)</x:f>
        <x:v>1.018217085320068</x:v>
      </x:c>
      <x:c r="T30" s="24" t="n">
        <x:f>O30*S30</x:f>
        <x:v>244.37210047681634</x:v>
      </x:c>
      <x:c r="U30" t="str">
        <x:v>SUR</x:v>
      </x:c>
      <x:c r="V30" t="str">
        <x:v>Farmacia del Sur</x:v>
      </x:c>
      <x:c r="W30" t="str">
        <x:v>Zona Sur</x:v>
      </x:c>
      <x:c r="X30" t="str">
        <x:v>Quito</x:v>
      </x:c>
      <x:c r="Y30" s="32" t="str">
        <x:v>Av. Maldonado S25-10</x:v>
      </x:c>
      <x:c r="Z30" s="22" t="n">
        <x:v>45696</x:v>
      </x:c>
      <x:c r="AA30" t="str">
        <x:v>Recibido</x:v>
      </x:c>
      <x:c r="AB30" t="str">
        <x:v>30 días crédito</x:v>
      </x:c>
      <x:c r="AC30" s="32" t="str">
        <x:v>Entrega coordinada fuera de horario regular</x:v>
      </x:c>
    </x:row>
    <x:row r="31">
      <x:c r="A31" t="n">
        <x:v>30</x:v>
      </x:c>
      <x:c r="B31" s="22" t="n">
        <x:v>45831</x:v>
      </x:c>
      <x:c r="C31" t="str">
        <x:v>OC-2025-0030</x:v>
      </x:c>
      <x:c r="D31" t="str">
        <x:v>F-D006-202506-4761</x:v>
      </x:c>
      <x:c r="E31" t="str">
        <x:v>L2506-002-0030</x:v>
      </x:c>
      <x:c r="F31" t="str">
        <x:v>D006</x:v>
      </x:c>
      <x:c r="G31" s="32" t="str">
        <x:v>Insumos Médicos del Pacífico</x:v>
      </x:c>
      <x:c r="H31" t="str">
        <x:v>MED002</x:v>
      </x:c>
      <x:c r="I31" s="32" t="str">
        <x:v>Ibuprofeno 400 mg</x:v>
      </x:c>
      <x:c r="J31" s="32" t="str">
        <x:v>Analgésicos</x:v>
      </x:c>
      <x:c r="K31" s="32" t="str">
        <x:v>La Santé</x:v>
      </x:c>
      <x:c r="L31" s="32" t="str">
        <x:v>Caja x 20 tabletas</x:v>
      </x:c>
      <x:c r="M31" s="28" t="n">
        <x:v>7</x:v>
      </x:c>
      <x:c r="N31" s="28" t="n">
        <x:v>24</x:v>
      </x:c>
      <x:c r="O31" s="28" t="n">
        <x:f>M31*N31</x:f>
        <x:v>168</x:v>
      </x:c>
      <x:c r="P31" s="24" t="n">
        <x:v>1.04</x:v>
      </x:c>
      <x:c r="Q31" s="26" t="n">
        <x:v>0.15319531368333547</x:v>
      </x:c>
      <x:c r="R31" s="24" t="n">
        <x:f>O31*P31*Q31</x:f>
        <x:v>26.766285206752375</x:v>
      </x:c>
      <x:c r="S31" s="24" t="n">
        <x:f>P31*(1-Q31)</x:f>
        <x:v>0.8806768737693311</x:v>
      </x:c>
      <x:c r="T31" s="24" t="n">
        <x:f>O31*S31</x:f>
        <x:v>147.95371479324763</x:v>
      </x:c>
      <x:c r="U31" t="str">
        <x:v>VALLE</x:v>
      </x:c>
      <x:c r="V31" t="str">
        <x:v>Farmacia Valle de los Chillos</x:v>
      </x:c>
      <x:c r="W31" t="str">
        <x:v>Zona Valle</x:v>
      </x:c>
      <x:c r="X31" t="str">
        <x:v>Sangolquí</x:v>
      </x:c>
      <x:c r="Y31" s="32" t="str">
        <x:v>Av. Calderón 101</x:v>
      </x:c>
      <x:c r="Z31" s="22" t="n">
        <x:v>45835</x:v>
      </x:c>
      <x:c r="AA31" t="str">
        <x:v>Recibido</x:v>
      </x:c>
      <x:c r="AB31" t="str">
        <x:v>60 días crédito</x:v>
      </x:c>
      <x:c r="AC31" s="32" t="str">
        <x:v>Descuento por volumen</x:v>
      </x:c>
    </x:row>
    <x:row r="32">
      <x:c r="A32" t="n">
        <x:v>31</x:v>
      </x:c>
      <x:c r="B32" s="22" t="n">
        <x:v>45796</x:v>
      </x:c>
      <x:c r="C32" t="str">
        <x:v>OC-2025-0031</x:v>
      </x:c>
      <x:c r="D32" t="str">
        <x:v>F-D003-202505-9642</x:v>
      </x:c>
      <x:c r="E32" t="str">
        <x:v>L2505-007-0031</x:v>
      </x:c>
      <x:c r="F32" t="str">
        <x:v>D003</x:v>
      </x:c>
      <x:c r="G32" s="32" t="str">
        <x:v>FarmaLogística Sierra</x:v>
      </x:c>
      <x:c r="H32" t="str">
        <x:v>MED007</x:v>
      </x:c>
      <x:c r="I32" s="32" t="str">
        <x:v>Omeprazol 20 mg</x:v>
      </x:c>
      <x:c r="J32" s="32" t="str">
        <x:v>Gastrointestinales</x:v>
      </x:c>
      <x:c r="K32" s="32" t="str">
        <x:v>La Santé</x:v>
      </x:c>
      <x:c r="L32" s="32" t="str">
        <x:v>Caja x 30 cápsulas</x:v>
      </x:c>
      <x:c r="M32" s="28" t="n">
        <x:v>12</x:v>
      </x:c>
      <x:c r="N32" s="28" t="n">
        <x:v>60</x:v>
      </x:c>
      <x:c r="O32" s="28" t="n">
        <x:f>M32*N32</x:f>
        <x:v>720</x:v>
      </x:c>
      <x:c r="P32" s="24" t="n">
        <x:v>3.17</x:v>
      </x:c>
      <x:c r="Q32" s="26" t="n">
        <x:v>0.05564703840929466</x:v>
      </x:c>
      <x:c r="R32" s="24" t="n">
        <x:f>O32*P32*Q32</x:f>
        <x:v>127.00880046537412</x:v>
      </x:c>
      <x:c r="S32" s="24" t="n">
        <x:f>P32*(1-Q32)</x:f>
        <x:v>2.993598888242536</x:v>
      </x:c>
      <x:c r="T32" s="24" t="n">
        <x:f>O32*S32</x:f>
        <x:v>2155.3911995346257</x:v>
      </x:c>
      <x:c r="U32" t="str">
        <x:v>SUR</x:v>
      </x:c>
      <x:c r="V32" t="str">
        <x:v>Farmacia del Sur</x:v>
      </x:c>
      <x:c r="W32" t="str">
        <x:v>Zona Sur</x:v>
      </x:c>
      <x:c r="X32" t="str">
        <x:v>Quito</x:v>
      </x:c>
      <x:c r="Y32" s="32" t="str">
        <x:v>Av. Maldonado S25-10</x:v>
      </x:c>
      <x:c r="Z32" s="22" t="n">
        <x:v>45799</x:v>
      </x:c>
      <x:c r="AA32" t="str">
        <x:v>Recibido</x:v>
      </x:c>
      <x:c r="AB32" t="str">
        <x:v>Contado contra entrega</x:v>
      </x:c>
      <x:c r="AC32" s="32" t="str"/>
    </x:row>
    <x:row r="33">
      <x:c r="A33" t="n">
        <x:v>32</x:v>
      </x:c>
      <x:c r="B33" s="22" t="n">
        <x:v>45936</x:v>
      </x:c>
      <x:c r="C33" t="str">
        <x:v>OC-2025-0032</x:v>
      </x:c>
      <x:c r="D33" t="str">
        <x:v>F-D005-202510-5831</x:v>
      </x:c>
      <x:c r="E33" t="str">
        <x:v>L2510-010-0032</x:v>
      </x:c>
      <x:c r="F33" t="str">
        <x:v>D005</x:v>
      </x:c>
      <x:c r="G33" s="32" t="str">
        <x:v>PharmaExpress Quito</x:v>
      </x:c>
      <x:c r="H33" t="str">
        <x:v>MED010</x:v>
      </x:c>
      <x:c r="I33" s="32" t="str">
        <x:v>Aspirina 100 mg</x:v>
      </x:c>
      <x:c r="J33" s="32" t="str">
        <x:v>Cardiovasculares</x:v>
      </x:c>
      <x:c r="K33" s="32" t="str">
        <x:v>Bayer</x:v>
      </x:c>
      <x:c r="L33" s="32" t="str">
        <x:v>Caja x 30 tabletas</x:v>
      </x:c>
      <x:c r="M33" s="28" t="n">
        <x:v>30</x:v>
      </x:c>
      <x:c r="N33" s="28" t="n">
        <x:v>10</x:v>
      </x:c>
      <x:c r="O33" s="28" t="n">
        <x:f>M33*N33</x:f>
        <x:v>300</x:v>
      </x:c>
      <x:c r="P33" s="24" t="n">
        <x:v>1.61</x:v>
      </x:c>
      <x:c r="Q33" s="26" t="n">
        <x:v>0.06672277485806834</x:v>
      </x:c>
      <x:c r="R33" s="24" t="n">
        <x:f>O33*P33*Q33</x:f>
        <x:v>32.22710025644701</x:v>
      </x:c>
      <x:c r="S33" s="24" t="n">
        <x:f>P33*(1-Q33)</x:f>
        <x:v>1.5025763324785102</x:v>
      </x:c>
      <x:c r="T33" s="24" t="n">
        <x:f>O33*S33</x:f>
        <x:v>450.77289974355307</x:v>
      </x:c>
      <x:c r="U33" t="str">
        <x:v>VALLE</x:v>
      </x:c>
      <x:c r="V33" t="str">
        <x:v>Farmacia Valle de los Chillos</x:v>
      </x:c>
      <x:c r="W33" t="str">
        <x:v>Zona Valle</x:v>
      </x:c>
      <x:c r="X33" t="str">
        <x:v>Sangolquí</x:v>
      </x:c>
      <x:c r="Y33" s="32" t="str">
        <x:v>Av. Calderón 101</x:v>
      </x:c>
      <x:c r="Z33" s="22" t="n">
        <x:v>45940</x:v>
      </x:c>
      <x:c r="AA33" t="str">
        <x:v>Recibido</x:v>
      </x:c>
      <x:c r="AB33" t="str">
        <x:v>30 días crédito</x:v>
      </x:c>
      <x:c r="AC33" s="32" t="str"/>
    </x:row>
    <x:row r="34">
      <x:c r="A34" t="n">
        <x:v>33</x:v>
      </x:c>
      <x:c r="B34" s="22" t="n">
        <x:v>46236</x:v>
      </x:c>
      <x:c r="C34" t="str">
        <x:v>OC-2026-0033</x:v>
      </x:c>
      <x:c r="D34" t="str">
        <x:v>F-D004-202608-6308</x:v>
      </x:c>
      <x:c r="E34" t="str">
        <x:v>L2608-011-0033</x:v>
      </x:c>
      <x:c r="F34" t="str">
        <x:v>D004</x:v>
      </x:c>
      <x:c r="G34" s="32" t="str">
        <x:v>Distribuidora Salud Total</x:v>
      </x:c>
      <x:c r="H34" t="str">
        <x:v>MED011</x:v>
      </x:c>
      <x:c r="I34" s="32" t="str">
        <x:v>Jarabe antigripal</x:v>
      </x:c>
      <x:c r="J34" s="32" t="str">
        <x:v>Antigripales</x:v>
      </x:c>
      <x:c r="K34" s="32" t="str">
        <x:v>MEDICAMENTA</x:v>
      </x:c>
      <x:c r="L34" s="32" t="str">
        <x:v>Frasco 120 ml</x:v>
      </x:c>
      <x:c r="M34" s="28" t="n">
        <x:v>18</x:v>
      </x:c>
      <x:c r="N34" s="28" t="n">
        <x:v>10</x:v>
      </x:c>
      <x:c r="O34" s="28" t="n">
        <x:f>M34*N34</x:f>
        <x:v>180</x:v>
      </x:c>
      <x:c r="P34" s="24" t="n">
        <x:v>3.15</x:v>
      </x:c>
      <x:c r="Q34" s="26" t="n">
        <x:v>0.12108623686147049</x:v>
      </x:c>
      <x:c r="R34" s="24" t="n">
        <x:f>O34*P34*Q34</x:f>
        <x:v>68.65589630045378</x:v>
      </x:c>
      <x:c r="S34" s="24" t="n">
        <x:f>P34*(1-Q34)</x:f>
        <x:v>2.768578353886368</x:v>
      </x:c>
      <x:c r="T34" s="24" t="n">
        <x:f>O34*S34</x:f>
        <x:v>498.3441036995462</x:v>
      </x:c>
      <x:c r="U34" t="str">
        <x:v>SUR</x:v>
      </x:c>
      <x:c r="V34" t="str">
        <x:v>Farmacia del Sur</x:v>
      </x:c>
      <x:c r="W34" t="str">
        <x:v>Zona Sur</x:v>
      </x:c>
      <x:c r="X34" t="str">
        <x:v>Quito</x:v>
      </x:c>
      <x:c r="Y34" s="32" t="str">
        <x:v>Av. Maldonado S25-10</x:v>
      </x:c>
      <x:c r="Z34" s="22" t="n">
        <x:v>46239</x:v>
      </x:c>
      <x:c r="AA34" t="str">
        <x:v>Recibido</x:v>
      </x:c>
      <x:c r="AB34" t="str">
        <x:v>45 días crédito</x:v>
      </x:c>
      <x:c r="AC34" s="32" t="str"/>
    </x:row>
    <x:row r="35">
      <x:c r="A35" t="n">
        <x:v>34</x:v>
      </x:c>
      <x:c r="B35" s="22" t="n">
        <x:v>45767</x:v>
      </x:c>
      <x:c r="C35" t="str">
        <x:v>OC-2025-0034</x:v>
      </x:c>
      <x:c r="D35" t="str">
        <x:v>F-D001-202504-7473</x:v>
      </x:c>
      <x:c r="E35" t="str">
        <x:v>L2504-015-0034</x:v>
      </x:c>
      <x:c r="F35" t="str">
        <x:v>D001</x:v>
      </x:c>
      <x:c r="G35" s="32" t="str">
        <x:v>DistriFarma Andina S.A.</x:v>
      </x:c>
      <x:c r="H35" t="str">
        <x:v>MED015</x:v>
      </x:c>
      <x:c r="I35" s="32" t="str">
        <x:v>Producto descontinuado</x:v>
      </x:c>
      <x:c r="J35" s="32" t="str">
        <x:v>Vitaminas</x:v>
      </x:c>
      <x:c r="K35" s="32" t="str">
        <x:v>MEDICAMENTA</x:v>
      </x:c>
      <x:c r="L35" s="32" t="str">
        <x:v>Caja x 20</x:v>
      </x:c>
      <x:c r="M35" s="28" t="n">
        <x:v>2</x:v>
      </x:c>
      <x:c r="N35" s="28" t="n">
        <x:v>10</x:v>
      </x:c>
      <x:c r="O35" s="28" t="n">
        <x:f>M35*N35</x:f>
        <x:v>20</x:v>
      </x:c>
      <x:c r="P35" s="24" t="n">
        <x:v>6.03</x:v>
      </x:c>
      <x:c r="Q35" s="26" t="n">
        <x:v>0.0908606838256419</x:v>
      </x:c>
      <x:c r="R35" s="24" t="n">
        <x:f>O35*P35*Q35</x:f>
        <x:v>10.957798469372413</x:v>
      </x:c>
      <x:c r="S35" s="24" t="n">
        <x:f>P35*(1-Q35)</x:f>
        <x:v>5.482110076531379</x:v>
      </x:c>
      <x:c r="T35" s="24" t="n">
        <x:f>O35*S35</x:f>
        <x:v>109.64220153062757</x:v>
      </x:c>
      <x:c r="U35" t="str">
        <x:v>VALLE</x:v>
      </x:c>
      <x:c r="V35" t="str">
        <x:v>Farmacia Valle de los Chillos</x:v>
      </x:c>
      <x:c r="W35" t="str">
        <x:v>Zona Valle</x:v>
      </x:c>
      <x:c r="X35" t="str">
        <x:v>Sangolquí</x:v>
      </x:c>
      <x:c r="Y35" s="32" t="str">
        <x:v>Av. Calderón 101</x:v>
      </x:c>
      <x:c r="Z35" s="22" t="n">
        <x:v>45770</x:v>
      </x:c>
      <x:c r="AA35" t="str">
        <x:v>Recibido</x:v>
      </x:c>
      <x:c r="AB35" t="str">
        <x:v>30 días crédito</x:v>
      </x:c>
      <x:c r="AC35" s="32" t="str">
        <x:v>Compra controlada: producto descontinuado</x:v>
      </x:c>
    </x:row>
    <x:row r="36">
      <x:c r="A36" t="n">
        <x:v>35</x:v>
      </x:c>
      <x:c r="B36" s="22" t="n">
        <x:v>45673</x:v>
      </x:c>
      <x:c r="C36" t="str">
        <x:v>OC-2025-0035</x:v>
      </x:c>
      <x:c r="D36" t="str">
        <x:v>F-D001-202501-2640</x:v>
      </x:c>
      <x:c r="E36" t="str">
        <x:v>L2501-007-0035</x:v>
      </x:c>
      <x:c r="F36" t="str">
        <x:v>D001</x:v>
      </x:c>
      <x:c r="G36" s="32" t="str">
        <x:v>DistriFarma Andina S.A.</x:v>
      </x:c>
      <x:c r="H36" t="str">
        <x:v>MED007</x:v>
      </x:c>
      <x:c r="I36" s="32" t="str">
        <x:v>Omeprazol 20 mg</x:v>
      </x:c>
      <x:c r="J36" s="32" t="str">
        <x:v>Gastrointestinales</x:v>
      </x:c>
      <x:c r="K36" s="32" t="str">
        <x:v>La Santé</x:v>
      </x:c>
      <x:c r="L36" s="32" t="str">
        <x:v>Caja x 30 cápsulas</x:v>
      </x:c>
      <x:c r="M36" s="28" t="n">
        <x:v>12</x:v>
      </x:c>
      <x:c r="N36" s="28" t="n">
        <x:v>10</x:v>
      </x:c>
      <x:c r="O36" s="28" t="n">
        <x:f>M36*N36</x:f>
        <x:v>120</x:v>
      </x:c>
      <x:c r="P36" s="24" t="n">
        <x:v>2.99</x:v>
      </x:c>
      <x:c r="Q36" s="26" t="n">
        <x:v>0.10894117696858034</x:v>
      </x:c>
      <x:c r="R36" s="24" t="n">
        <x:f>O36*P36*Q36</x:f>
        <x:v>39.08809429632663</x:v>
      </x:c>
      <x:c r="S36" s="24" t="n">
        <x:f>P36*(1-Q36)</x:f>
        <x:v>2.6642658808639452</x:v>
      </x:c>
      <x:c r="T36" s="24" t="n">
        <x:f>O36*S36</x:f>
        <x:v>319.71190570367344</x:v>
      </x:c>
      <x:c r="U36" t="str">
        <x:v>SUR</x:v>
      </x:c>
      <x:c r="V36" t="str">
        <x:v>Farmacia del Sur</x:v>
      </x:c>
      <x:c r="W36" t="str">
        <x:v>Zona Sur</x:v>
      </x:c>
      <x:c r="X36" t="str">
        <x:v>Quito</x:v>
      </x:c>
      <x:c r="Y36" s="32" t="str">
        <x:v>Av. Maldonado S25-10</x:v>
      </x:c>
      <x:c r="Z36" s="22" t="n">
        <x:v>45674</x:v>
      </x:c>
      <x:c r="AA36" t="str">
        <x:v>Recibido</x:v>
      </x:c>
      <x:c r="AB36" t="str">
        <x:v>30 días crédito</x:v>
      </x:c>
      <x:c r="AC36" s="32" t="str"/>
    </x:row>
    <x:row r="37">
      <x:c r="A37" t="n">
        <x:v>36</x:v>
      </x:c>
      <x:c r="B37" s="22" t="n">
        <x:v>46222</x:v>
      </x:c>
      <x:c r="C37" t="str">
        <x:v>OC-2026-0036</x:v>
      </x:c>
      <x:c r="D37" t="str">
        <x:v>F-D006-202607-2811</x:v>
      </x:c>
      <x:c r="E37" t="str">
        <x:v>L2607-013-0036</x:v>
      </x:c>
      <x:c r="F37" t="str">
        <x:v>D006</x:v>
      </x:c>
      <x:c r="G37" s="32" t="str">
        <x:v>Insumos Médicos del Pacífico</x:v>
      </x:c>
      <x:c r="H37" t="str">
        <x:v>MED013</x:v>
      </x:c>
      <x:c r="I37" s="32" t="str">
        <x:v>Probióticos</x:v>
      </x:c>
      <x:c r="J37" s="32" t="str">
        <x:v>Gastrointestinales</x:v>
      </x:c>
      <x:c r="K37" s="32" t="str">
        <x:v>Laboratorios Bagó</x:v>
      </x:c>
      <x:c r="L37" s="32" t="str">
        <x:v>Caja x 10 sobres</x:v>
      </x:c>
      <x:c r="M37" s="28" t="n">
        <x:v>6</x:v>
      </x:c>
      <x:c r="N37" s="28" t="n">
        <x:v>60</x:v>
      </x:c>
      <x:c r="O37" s="28" t="n">
        <x:f>M37*N37</x:f>
        <x:v>360</x:v>
      </x:c>
      <x:c r="P37" s="24" t="n">
        <x:v>5.58</x:v>
      </x:c>
      <x:c r="Q37" s="26" t="n">
        <x:v>0.09725541564305555</x:v>
      </x:c>
      <x:c r="R37" s="24" t="n">
        <x:f>O37*P37*Q37</x:f>
        <x:v>195.36667894376998</x:v>
      </x:c>
      <x:c r="S37" s="24" t="n">
        <x:f>P37*(1-Q37)</x:f>
        <x:v>5.037314780711751</x:v>
      </x:c>
      <x:c r="T37" s="24" t="n">
        <x:f>O37*S37</x:f>
        <x:v>1813.4333210562302</x:v>
      </x:c>
      <x:c r="U37" t="str">
        <x:v>VALLE</x:v>
      </x:c>
      <x:c r="V37" t="str">
        <x:v>Farmacia Valle de los Chillos</x:v>
      </x:c>
      <x:c r="W37" t="str">
        <x:v>Zona Valle</x:v>
      </x:c>
      <x:c r="X37" t="str">
        <x:v>Sangolquí</x:v>
      </x:c>
      <x:c r="Y37" s="32" t="str">
        <x:v>Av. Calderón 101</x:v>
      </x:c>
      <x:c r="Z37" s="22" t="n">
        <x:v>46226</x:v>
      </x:c>
      <x:c r="AA37" t="str">
        <x:v>Recibido</x:v>
      </x:c>
      <x:c r="AB37" t="str">
        <x:v>60 días crédito</x:v>
      </x:c>
      <x:c r="AC37" s="32" t="str"/>
    </x:row>
    <x:row r="38">
      <x:c r="A38" t="n">
        <x:v>37</x:v>
      </x:c>
      <x:c r="B38" s="22" t="n">
        <x:v>45827</x:v>
      </x:c>
      <x:c r="C38" t="str">
        <x:v>OC-2025-0037</x:v>
      </x:c>
      <x:c r="D38" t="str">
        <x:v>F-D006-202506-3544</x:v>
      </x:c>
      <x:c r="E38" t="str">
        <x:v>L2506-013-0037</x:v>
      </x:c>
      <x:c r="F38" t="str">
        <x:v>D006</x:v>
      </x:c>
      <x:c r="G38" s="32" t="str">
        <x:v>Insumos Médicos del Pacífico</x:v>
      </x:c>
      <x:c r="H38" t="str">
        <x:v>MED013</x:v>
      </x:c>
      <x:c r="I38" s="32" t="str">
        <x:v>Probióticos</x:v>
      </x:c>
      <x:c r="J38" s="32" t="str">
        <x:v>Gastrointestinales</x:v>
      </x:c>
      <x:c r="K38" s="32" t="str">
        <x:v>Laboratorios Bagó</x:v>
      </x:c>
      <x:c r="L38" s="32" t="str">
        <x:v>Caja x 10 sobres</x:v>
      </x:c>
      <x:c r="M38" s="28" t="n">
        <x:v>8</x:v>
      </x:c>
      <x:c r="N38" s="28" t="n">
        <x:v>24</x:v>
      </x:c>
      <x:c r="O38" s="28" t="n">
        <x:f>M38*N38</x:f>
        <x:v>192</x:v>
      </x:c>
      <x:c r="P38" s="24" t="n">
        <x:v>5.69</x:v>
      </x:c>
      <x:c r="Q38" s="26" t="n">
        <x:v>0.119577722052245</x:v>
      </x:c>
      <x:c r="R38" s="24" t="n">
        <x:f>O38*P38*Q38</x:f>
        <x:v>130.63626978763662</x:v>
      </x:c>
      <x:c r="S38" s="24" t="n">
        <x:f>P38*(1-Q38)</x:f>
        <x:v>5.009602761522726</x:v>
      </x:c>
      <x:c r="T38" s="24" t="n">
        <x:f>O38*S38</x:f>
        <x:v>961.8437302123634</x:v>
      </x:c>
      <x:c r="U38" t="str">
        <x:v>NORTE</x:v>
      </x:c>
      <x:c r="V38" t="str">
        <x:v>Farmacia Norte</x:v>
      </x:c>
      <x:c r="W38" t="str">
        <x:v>Zona Norte</x:v>
      </x:c>
      <x:c r="X38" t="str">
        <x:v>Quito</x:v>
      </x:c>
      <x:c r="Y38" s="32" t="str">
        <x:v>Av. 10 de Agosto N45-20</x:v>
      </x:c>
      <x:c r="Z38" s="22" t="n">
        <x:v>45829</x:v>
      </x:c>
      <x:c r="AA38" t="str">
        <x:v>Recibido</x:v>
      </x:c>
      <x:c r="AB38" t="str">
        <x:v>60 días crédito</x:v>
      </x:c>
      <x:c r="AC38" s="32" t="str">
        <x:v>Entrega coordinada fuera de horario regular</x:v>
      </x:c>
    </x:row>
    <x:row r="39">
      <x:c r="A39" t="n">
        <x:v>38</x:v>
      </x:c>
      <x:c r="B39" s="22" t="n">
        <x:v>46270</x:v>
      </x:c>
      <x:c r="C39" t="str">
        <x:v>OC-2026-0038</x:v>
      </x:c>
      <x:c r="D39" t="str">
        <x:v>F-D005-202609-9041</x:v>
      </x:c>
      <x:c r="E39" t="str">
        <x:v>L2609-012-0038</x:v>
      </x:c>
      <x:c r="F39" t="str">
        <x:v>D005</x:v>
      </x:c>
      <x:c r="G39" s="32" t="str">
        <x:v>PharmaExpress Quito</x:v>
      </x:c>
      <x:c r="H39" t="str">
        <x:v>MED012</x:v>
      </x:c>
      <x:c r="I39" s="32" t="str">
        <x:v>Multivitamínico adulto</x:v>
      </x:c>
      <x:c r="J39" s="32" t="str">
        <x:v>Vitaminas</x:v>
      </x:c>
      <x:c r="K39" s="32" t="str">
        <x:v>Novartis</x:v>
      </x:c>
      <x:c r="L39" s="32" t="str">
        <x:v>Frasco x 30 tabletas</x:v>
      </x:c>
      <x:c r="M39" s="28" t="n">
        <x:v>8</x:v>
      </x:c>
      <x:c r="N39" s="28" t="n">
        <x:v>30</x:v>
      </x:c>
      <x:c r="O39" s="28" t="n">
        <x:f>M39*N39</x:f>
        <x:v>240</x:v>
      </x:c>
      <x:c r="P39" s="24" t="n">
        <x:v>4.88</x:v>
      </x:c>
      <x:c r="Q39" s="26" t="n">
        <x:v>0.07155398447844022</x:v>
      </x:c>
      <x:c r="R39" s="24" t="n">
        <x:f>O39*P39*Q39</x:f>
        <x:v>83.80402662114919</x:v>
      </x:c>
      <x:c r="S39" s="24" t="n">
        <x:f>P39*(1-Q39)</x:f>
        <x:v>4.530816555745211</x:v>
      </x:c>
      <x:c r="T39" s="24" t="n">
        <x:f>O39*S39</x:f>
        <x:v>1087.3959733788506</x:v>
      </x:c>
      <x:c r="U39" t="str">
        <x:v>VALLE</x:v>
      </x:c>
      <x:c r="V39" t="str">
        <x:v>Farmacia Valle de los Chillos</x:v>
      </x:c>
      <x:c r="W39" t="str">
        <x:v>Zona Valle</x:v>
      </x:c>
      <x:c r="X39" t="str">
        <x:v>Sangolquí</x:v>
      </x:c>
      <x:c r="Y39" s="32" t="str">
        <x:v>Av. Calderón 101</x:v>
      </x:c>
      <x:c r="Z39" s="22" t="n">
        <x:v>46275</x:v>
      </x:c>
      <x:c r="AA39" t="str">
        <x:v>Recibido</x:v>
      </x:c>
      <x:c r="AB39" t="str">
        <x:v>30 días crédito</x:v>
      </x:c>
      <x:c r="AC39" s="32" t="str"/>
    </x:row>
    <x:row r="40">
      <x:c r="A40" t="n">
        <x:v>39</x:v>
      </x:c>
      <x:c r="B40" s="22" t="n">
        <x:v>46333</x:v>
      </x:c>
      <x:c r="C40" t="str">
        <x:v>OC-2026-0039</x:v>
      </x:c>
      <x:c r="D40" t="str">
        <x:v>F-D007-202611-6489</x:v>
      </x:c>
      <x:c r="E40" t="str">
        <x:v>L2611-006-0039</x:v>
      </x:c>
      <x:c r="F40" t="str">
        <x:v>D007</x:v>
      </x:c>
      <x:c r="G40" s="32" t="str">
        <x:v>Comercializadora BioFarma</x:v>
      </x:c>
      <x:c r="H40" t="str">
        <x:v>MED006</x:v>
      </x:c>
      <x:c r="I40" s="32" t="str">
        <x:v>Vitamina C 1 g</x:v>
      </x:c>
      <x:c r="J40" s="32" t="str">
        <x:v>Vitaminas</x:v>
      </x:c>
      <x:c r="K40" s="32" t="str">
        <x:v>Novartis</x:v>
      </x:c>
      <x:c r="L40" s="32" t="str">
        <x:v>Tubo x 10 efervescentes</x:v>
      </x:c>
      <x:c r="M40" s="28" t="n">
        <x:v>8</x:v>
      </x:c>
      <x:c r="N40" s="28" t="n">
        <x:v>20</x:v>
      </x:c>
      <x:c r="O40" s="28" t="n">
        <x:f>M40*N40</x:f>
        <x:v>160</x:v>
      </x:c>
      <x:c r="P40" s="24" t="n">
        <x:v>2.53</x:v>
      </x:c>
      <x:c r="Q40" s="26" t="n">
        <x:v>0.07098058711658894</x:v>
      </x:c>
      <x:c r="R40" s="24" t="n">
        <x:f>O40*P40*Q40</x:f>
        <x:v>28.732941664795202</x:v>
      </x:c>
      <x:c r="S40" s="24" t="n">
        <x:f>P40*(1-Q40)</x:f>
        <x:v>2.35041911459503</x:v>
      </x:c>
      <x:c r="T40" s="24" t="n">
        <x:f>O40*S40</x:f>
        <x:v>376.0670583352048</x:v>
      </x:c>
      <x:c r="U40" t="str">
        <x:v>NORTE</x:v>
      </x:c>
      <x:c r="V40" t="str">
        <x:v>Farmacia Norte</x:v>
      </x:c>
      <x:c r="W40" t="str">
        <x:v>Zona Norte</x:v>
      </x:c>
      <x:c r="X40" t="str">
        <x:v>Quito</x:v>
      </x:c>
      <x:c r="Y40" s="32" t="str">
        <x:v>Av. 10 de Agosto N45-20</x:v>
      </x:c>
      <x:c r="Z40" s="22" t="n">
        <x:v>46334</x:v>
      </x:c>
      <x:c r="AA40" t="str">
        <x:v>Recibido</x:v>
      </x:c>
      <x:c r="AB40" t="str">
        <x:v>15 días crédito</x:v>
      </x:c>
      <x:c r="AC40" s="32" t="str">
        <x:v>Entrega coordinada fuera de horario regular</x:v>
      </x:c>
    </x:row>
    <x:row r="41">
      <x:c r="A41" t="n">
        <x:v>40</x:v>
      </x:c>
      <x:c r="B41" s="22" t="n">
        <x:v>45896</x:v>
      </x:c>
      <x:c r="C41" t="str">
        <x:v>OC-2025-0040</x:v>
      </x:c>
      <x:c r="D41" t="str">
        <x:v>F-D002-202508-2818</x:v>
      </x:c>
      <x:c r="E41" t="str">
        <x:v>L2508-012-0040</x:v>
      </x:c>
      <x:c r="F41" t="str">
        <x:v>D002</x:v>
      </x:c>
      <x:c r="G41" s="32" t="str">
        <x:v>MedSupply Ecuador Cía. Ltda.</x:v>
      </x:c>
      <x:c r="H41" t="str">
        <x:v>MED012</x:v>
      </x:c>
      <x:c r="I41" s="32" t="str">
        <x:v>Multivitamínico adulto</x:v>
      </x:c>
      <x:c r="J41" s="32" t="str">
        <x:v>Vitaminas</x:v>
      </x:c>
      <x:c r="K41" s="32" t="str">
        <x:v>Novartis</x:v>
      </x:c>
      <x:c r="L41" s="32" t="str">
        <x:v>Frasco x 30 tabletas</x:v>
      </x:c>
      <x:c r="M41" s="28" t="n">
        <x:v>15</x:v>
      </x:c>
      <x:c r="N41" s="28" t="n">
        <x:v>10</x:v>
      </x:c>
      <x:c r="O41" s="28" t="n">
        <x:f>M41*N41</x:f>
        <x:v>150</x:v>
      </x:c>
      <x:c r="P41" s="24" t="n">
        <x:v>4.44</x:v>
      </x:c>
      <x:c r="Q41" s="26" t="n">
        <x:v>0.06944614811323983</x:v>
      </x:c>
      <x:c r="R41" s="24" t="n">
        <x:f>O41*P41*Q41</x:f>
        <x:v>46.251134643417736</x:v>
      </x:c>
      <x:c r="S41" s="24" t="n">
        <x:f>P41*(1-Q41)</x:f>
        <x:v>4.131659102377216</x:v>
      </x:c>
      <x:c r="T41" s="24" t="n">
        <x:f>O41*S41</x:f>
        <x:v>619.7488653565824</x:v>
      </x:c>
      <x:c r="U41" t="str">
        <x:v>NORTE</x:v>
      </x:c>
      <x:c r="V41" t="str">
        <x:v>Farmacia Norte</x:v>
      </x:c>
      <x:c r="W41" t="str">
        <x:v>Zona Norte</x:v>
      </x:c>
      <x:c r="X41" t="str">
        <x:v>Quito</x:v>
      </x:c>
      <x:c r="Y41" s="32" t="str">
        <x:v>Av. 10 de Agosto N45-20</x:v>
      </x:c>
      <x:c r="Z41" s="22" t="n">
        <x:v>45897</x:v>
      </x:c>
      <x:c r="AA41" t="str">
        <x:v>Recibido</x:v>
      </x:c>
      <x:c r="AB41" t="str">
        <x:v>15 días crédito</x:v>
      </x:c>
      <x:c r="AC41" s="32" t="str"/>
    </x:row>
    <x:row r="42">
      <x:c r="A42" t="n">
        <x:v>41</x:v>
      </x:c>
      <x:c r="B42" s="22" t="n">
        <x:v>45986</x:v>
      </x:c>
      <x:c r="C42" t="str">
        <x:v>OC-2025-0041</x:v>
      </x:c>
      <x:c r="D42" t="str">
        <x:v>F-D006-202511-2516</x:v>
      </x:c>
      <x:c r="E42" t="str">
        <x:v>L2511-009-0041</x:v>
      </x:c>
      <x:c r="F42" t="str">
        <x:v>D006</x:v>
      </x:c>
      <x:c r="G42" s="32" t="str">
        <x:v>Insumos Médicos del Pacífico</x:v>
      </x:c>
      <x:c r="H42" t="str">
        <x:v>MED009</x:v>
      </x:c>
      <x:c r="I42" s="32" t="str">
        <x:v>Losartán 50 mg</x:v>
      </x:c>
      <x:c r="J42" s="32" t="str">
        <x:v>Cardiovasculares</x:v>
      </x:c>
      <x:c r="K42" s="32" t="str">
        <x:v>Laboratorios Bagó</x:v>
      </x:c>
      <x:c r="L42" s="32" t="str">
        <x:v>Caja x 30 tabletas</x:v>
      </x:c>
      <x:c r="M42" s="28" t="n">
        <x:v>36</x:v>
      </x:c>
      <x:c r="N42" s="28" t="n">
        <x:v>10</x:v>
      </x:c>
      <x:c r="O42" s="28" t="n">
        <x:f>M42*N42</x:f>
        <x:v>360</x:v>
      </x:c>
      <x:c r="P42" s="24" t="n">
        <x:v>3</x:v>
      </x:c>
      <x:c r="Q42" s="26" t="n">
        <x:v>0.09772682310802004</x:v>
      </x:c>
      <x:c r="R42" s="24" t="n">
        <x:f>O42*P42*Q42</x:f>
        <x:v>105.54496895666165</x:v>
      </x:c>
      <x:c r="S42" s="24" t="n">
        <x:f>P42*(1-Q42)</x:f>
        <x:v>2.70681953067594</x:v>
      </x:c>
      <x:c r="T42" s="24" t="n">
        <x:f>O42*S42</x:f>
        <x:v>974.4550310433384</x:v>
      </x:c>
      <x:c r="U42" t="str">
        <x:v>NORTE</x:v>
      </x:c>
      <x:c r="V42" t="str">
        <x:v>Farmacia Norte</x:v>
      </x:c>
      <x:c r="W42" t="str">
        <x:v>Zona Norte</x:v>
      </x:c>
      <x:c r="X42" t="str">
        <x:v>Quito</x:v>
      </x:c>
      <x:c r="Y42" s="32" t="str">
        <x:v>Av. 10 de Agosto N45-20</x:v>
      </x:c>
      <x:c r="Z42" s="22" t="n">
        <x:v>45991</x:v>
      </x:c>
      <x:c r="AA42" t="str">
        <x:v>Recibido</x:v>
      </x:c>
      <x:c r="AB42" t="str">
        <x:v>60 días crédito</x:v>
      </x:c>
      <x:c r="AC42" s="32" t="str">
        <x:v>Entrega coordinada fuera de horario regular</x:v>
      </x:c>
    </x:row>
    <x:row r="43">
      <x:c r="A43" t="n">
        <x:v>42</x:v>
      </x:c>
      <x:c r="B43" s="22" t="n">
        <x:v>46140</x:v>
      </x:c>
      <x:c r="C43" t="str">
        <x:v>OC-2026-0042</x:v>
      </x:c>
      <x:c r="D43" t="str">
        <x:v>F-D005-202604-2476</x:v>
      </x:c>
      <x:c r="E43" t="str">
        <x:v>L2604-008-0042</x:v>
      </x:c>
      <x:c r="F43" t="str">
        <x:v>D005</x:v>
      </x:c>
      <x:c r="G43" s="32" t="str">
        <x:v>PharmaExpress Quito</x:v>
      </x:c>
      <x:c r="H43" t="str">
        <x:v>MED008</x:v>
      </x:c>
      <x:c r="I43" s="32" t="str">
        <x:v>Diclofenaco gel</x:v>
      </x:c>
      <x:c r="J43" s="32" t="str">
        <x:v>Dermatológicos</x:v>
      </x:c>
      <x:c r="K43" s="32" t="str">
        <x:v>Bayer</x:v>
      </x:c>
      <x:c r="L43" s="32" t="str">
        <x:v>Tubo 50 g</x:v>
      </x:c>
      <x:c r="M43" s="28" t="n">
        <x:v>30</x:v>
      </x:c>
      <x:c r="N43" s="28" t="n">
        <x:v>20</x:v>
      </x:c>
      <x:c r="O43" s="28" t="n">
        <x:f>M43*N43</x:f>
        <x:v>600</x:v>
      </x:c>
      <x:c r="P43" s="24" t="n">
        <x:v>2.15</x:v>
      </x:c>
      <x:c r="Q43" s="26" t="n">
        <x:v>0.08296240805298881</x:v>
      </x:c>
      <x:c r="R43" s="24" t="n">
        <x:f>O43*P43*Q43</x:f>
        <x:v>107.02150638835556</x:v>
      </x:c>
      <x:c r="S43" s="24" t="n">
        <x:f>P43*(1-Q43)</x:f>
        <x:v>1.971630822686074</x:v>
      </x:c>
      <x:c r="T43" s="24" t="n">
        <x:f>O43*S43</x:f>
        <x:v>1182.9784936116444</x:v>
      </x:c>
      <x:c r="U43" t="str">
        <x:v>SUR</x:v>
      </x:c>
      <x:c r="V43" t="str">
        <x:v>Farmacia del Sur</x:v>
      </x:c>
      <x:c r="W43" t="str">
        <x:v>Zona Sur</x:v>
      </x:c>
      <x:c r="X43" t="str">
        <x:v>Quito</x:v>
      </x:c>
      <x:c r="Y43" s="32" t="str">
        <x:v>Av. Maldonado S25-10</x:v>
      </x:c>
      <x:c r="Z43" s="22" t="n">
        <x:v>46141</x:v>
      </x:c>
      <x:c r="AA43" t="str">
        <x:v>Recibido</x:v>
      </x:c>
      <x:c r="AB43" t="str">
        <x:v>30 días crédito</x:v>
      </x:c>
      <x:c r="AC43" s="32" t="str"/>
    </x:row>
    <x:row r="44">
      <x:c r="A44" t="n">
        <x:v>43</x:v>
      </x:c>
      <x:c r="B44" s="22" t="n">
        <x:v>46252</x:v>
      </x:c>
      <x:c r="C44" t="str">
        <x:v>OC-2026-0043</x:v>
      </x:c>
      <x:c r="D44" t="str">
        <x:v>F-D003-202608-2148</x:v>
      </x:c>
      <x:c r="E44" t="str">
        <x:v>L2608-007-0043</x:v>
      </x:c>
      <x:c r="F44" t="str">
        <x:v>D003</x:v>
      </x:c>
      <x:c r="G44" s="32" t="str">
        <x:v>FarmaLogística Sierra</x:v>
      </x:c>
      <x:c r="H44" t="str">
        <x:v>MED007</x:v>
      </x:c>
      <x:c r="I44" s="32" t="str">
        <x:v>Omeprazol 20 mg</x:v>
      </x:c>
      <x:c r="J44" s="32" t="str">
        <x:v>Gastrointestinales</x:v>
      </x:c>
      <x:c r="K44" s="32" t="str">
        <x:v>La Santé</x:v>
      </x:c>
      <x:c r="L44" s="32" t="str">
        <x:v>Caja x 30 cápsulas</x:v>
      </x:c>
      <x:c r="M44" s="28" t="n">
        <x:v>48</x:v>
      </x:c>
      <x:c r="N44" s="28" t="n">
        <x:v>10</x:v>
      </x:c>
      <x:c r="O44" s="28" t="n">
        <x:f>M44*N44</x:f>
        <x:v>480</x:v>
      </x:c>
      <x:c r="P44" s="24" t="n">
        <x:v>2.87</x:v>
      </x:c>
      <x:c r="Q44" s="26" t="n">
        <x:v>0.058646011594118724</x:v>
      </x:c>
      <x:c r="R44" s="24" t="n">
        <x:f>O44*P44*Q44</x:f>
        <x:v>80.79074557205796</x:v>
      </x:c>
      <x:c r="S44" s="24" t="n">
        <x:f>P44*(1-Q44)</x:f>
        <x:v>2.7016859467248793</x:v>
      </x:c>
      <x:c r="T44" s="24" t="n">
        <x:f>O44*S44</x:f>
        <x:v>1296.809254427942</x:v>
      </x:c>
      <x:c r="U44" t="str">
        <x:v>SUR</x:v>
      </x:c>
      <x:c r="V44" t="str">
        <x:v>Farmacia del Sur</x:v>
      </x:c>
      <x:c r="W44" t="str">
        <x:v>Zona Sur</x:v>
      </x:c>
      <x:c r="X44" t="str">
        <x:v>Quito</x:v>
      </x:c>
      <x:c r="Y44" s="32" t="str">
        <x:v>Av. Maldonado S25-10</x:v>
      </x:c>
      <x:c r="Z44" s="22" t="n">
        <x:v>46256</x:v>
      </x:c>
      <x:c r="AA44" t="str">
        <x:v>Recibido</x:v>
      </x:c>
      <x:c r="AB44" t="str">
        <x:v>Contado contra entrega</x:v>
      </x:c>
      <x:c r="AC44" s="32" t="str">
        <x:v>Entrega coordinada fuera de horario regular</x:v>
      </x:c>
    </x:row>
    <x:row r="45">
      <x:c r="A45" t="n">
        <x:v>44</x:v>
      </x:c>
      <x:c r="B45" s="22" t="n">
        <x:v>46273</x:v>
      </x:c>
      <x:c r="C45" t="str">
        <x:v>OC-2026-0044</x:v>
      </x:c>
      <x:c r="D45" t="str">
        <x:v>F-D005-202609-5145</x:v>
      </x:c>
      <x:c r="E45" t="str">
        <x:v>L2609-006-0044</x:v>
      </x:c>
      <x:c r="F45" t="str">
        <x:v>D005</x:v>
      </x:c>
      <x:c r="G45" s="32" t="str">
        <x:v>PharmaExpress Quito</x:v>
      </x:c>
      <x:c r="H45" t="str">
        <x:v>MED006</x:v>
      </x:c>
      <x:c r="I45" s="32" t="str">
        <x:v>Vitamina C 1 g</x:v>
      </x:c>
      <x:c r="J45" s="32" t="str">
        <x:v>Vitaminas</x:v>
      </x:c>
      <x:c r="K45" s="32" t="str">
        <x:v>Novartis</x:v>
      </x:c>
      <x:c r="L45" s="32" t="str">
        <x:v>Tubo x 10 efervescentes</x:v>
      </x:c>
      <x:c r="M45" s="28" t="n">
        <x:v>10</x:v>
      </x:c>
      <x:c r="N45" s="28" t="n">
        <x:v>24</x:v>
      </x:c>
      <x:c r="O45" s="28" t="n">
        <x:f>M45*N45</x:f>
        <x:v>240</x:v>
      </x:c>
      <x:c r="P45" s="24" t="n">
        <x:v>2.24</x:v>
      </x:c>
      <x:c r="Q45" s="26" t="n">
        <x:v>0.05959424859243267</x:v>
      </x:c>
      <x:c r="R45" s="24" t="n">
        <x:f>O45*P45*Q45</x:f>
        <x:v>32.0378680432918</x:v>
      </x:c>
      <x:c r="S45" s="24" t="n">
        <x:f>P45*(1-Q45)</x:f>
        <x:v>2.106508883152951</x:v>
      </x:c>
      <x:c r="T45" s="24" t="n">
        <x:f>O45*S45</x:f>
        <x:v>505.56213195670824</x:v>
      </x:c>
      <x:c r="U45" t="str">
        <x:v>NORTE</x:v>
      </x:c>
      <x:c r="V45" t="str">
        <x:v>Farmacia Norte</x:v>
      </x:c>
      <x:c r="W45" t="str">
        <x:v>Zona Norte</x:v>
      </x:c>
      <x:c r="X45" t="str">
        <x:v>Quito</x:v>
      </x:c>
      <x:c r="Y45" s="32" t="str">
        <x:v>Av. 10 de Agosto N45-20</x:v>
      </x:c>
      <x:c r="Z45" s="22" t="n">
        <x:v>46274</x:v>
      </x:c>
      <x:c r="AA45" t="str">
        <x:v>Recibido</x:v>
      </x:c>
      <x:c r="AB45" t="str">
        <x:v>30 días crédito</x:v>
      </x:c>
      <x:c r="AC45" s="32" t="str"/>
    </x:row>
    <x:row r="46">
      <x:c r="A46" t="n">
        <x:v>45</x:v>
      </x:c>
      <x:c r="B46" s="22" t="n">
        <x:v>46367</x:v>
      </x:c>
      <x:c r="C46" t="str">
        <x:v>OC-2026-0045</x:v>
      </x:c>
      <x:c r="D46" t="str">
        <x:v>F-D006-202612-7361</x:v>
      </x:c>
      <x:c r="E46" t="str">
        <x:v>L2612-008-0045</x:v>
      </x:c>
      <x:c r="F46" t="str">
        <x:v>D006</x:v>
      </x:c>
      <x:c r="G46" s="32" t="str">
        <x:v>Insumos Médicos del Pacífico</x:v>
      </x:c>
      <x:c r="H46" t="str">
        <x:v>MED008</x:v>
      </x:c>
      <x:c r="I46" s="32" t="str">
        <x:v>Diclofenaco gel</x:v>
      </x:c>
      <x:c r="J46" s="32" t="str">
        <x:v>Dermatológicos</x:v>
      </x:c>
      <x:c r="K46" s="32" t="str">
        <x:v>Bayer</x:v>
      </x:c>
      <x:c r="L46" s="32" t="str">
        <x:v>Tubo 50 g</x:v>
      </x:c>
      <x:c r="M46" s="28" t="n">
        <x:v>8</x:v>
      </x:c>
      <x:c r="N46" s="28" t="n">
        <x:v>50</x:v>
      </x:c>
      <x:c r="O46" s="28" t="n">
        <x:f>M46*N46</x:f>
        <x:v>400</x:v>
      </x:c>
      <x:c r="P46" s="24" t="n">
        <x:v>2.05</x:v>
      </x:c>
      <x:c r="Q46" s="26" t="n">
        <x:v>0.09631134168476332</x:v>
      </x:c>
      <x:c r="R46" s="24" t="n">
        <x:f>O46*P46*Q46</x:f>
        <x:v>78.97530018150592</x:v>
      </x:c>
      <x:c r="S46" s="24" t="n">
        <x:f>P46*(1-Q46)</x:f>
        <x:v>1.852561749546235</x:v>
      </x:c>
      <x:c r="T46" s="24" t="n">
        <x:f>O46*S46</x:f>
        <x:v>741.024699818494</x:v>
      </x:c>
      <x:c r="U46" t="str">
        <x:v>NORTE</x:v>
      </x:c>
      <x:c r="V46" t="str">
        <x:v>Farmacia Norte</x:v>
      </x:c>
      <x:c r="W46" t="str">
        <x:v>Zona Norte</x:v>
      </x:c>
      <x:c r="X46" t="str">
        <x:v>Quito</x:v>
      </x:c>
      <x:c r="Y46" s="32" t="str">
        <x:v>Av. 10 de Agosto N45-20</x:v>
      </x:c>
      <x:c r="Z46" s="22" t="n">
        <x:v>46369</x:v>
      </x:c>
      <x:c r="AA46" t="str">
        <x:v>Recibido</x:v>
      </x:c>
      <x:c r="AB46" t="str">
        <x:v>60 días crédito</x:v>
      </x:c>
      <x:c r="AC46" s="32" t="str">
        <x:v>Entrega coordinada fuera de horario regular</x:v>
      </x:c>
    </x:row>
    <x:row r="47">
      <x:c r="A47" t="n">
        <x:v>46</x:v>
      </x:c>
      <x:c r="B47" s="22" t="n">
        <x:v>46219</x:v>
      </x:c>
      <x:c r="C47" t="str">
        <x:v>OC-2026-0046</x:v>
      </x:c>
      <x:c r="D47" t="str">
        <x:v>F-D003-202607-6953</x:v>
      </x:c>
      <x:c r="E47" t="str">
        <x:v>L2607-014-0046</x:v>
      </x:c>
      <x:c r="F47" t="str">
        <x:v>D003</x:v>
      </x:c>
      <x:c r="G47" s="32" t="str">
        <x:v>FarmaLogística Sierra</x:v>
      </x:c>
      <x:c r="H47" t="str">
        <x:v>MED014</x:v>
      </x:c>
      <x:c r="I47" s="32" t="str">
        <x:v>Crema antimicótica</x:v>
      </x:c>
      <x:c r="J47" s="32" t="str">
        <x:v>Dermatológicos</x:v>
      </x:c>
      <x:c r="K47" s="32" t="str">
        <x:v>Acromax</x:v>
      </x:c>
      <x:c r="L47" s="32" t="str">
        <x:v>Tubo 30 g</x:v>
      </x:c>
      <x:c r="M47" s="28" t="n">
        <x:v>4</x:v>
      </x:c>
      <x:c r="N47" s="28" t="n">
        <x:v>50</x:v>
      </x:c>
      <x:c r="O47" s="28" t="n">
        <x:f>M47*N47</x:f>
        <x:v>200</x:v>
      </x:c>
      <x:c r="P47" s="24" t="n">
        <x:v>2.18</x:v>
      </x:c>
      <x:c r="Q47" s="26" t="n">
        <x:v>0.04058875248633538</x:v>
      </x:c>
      <x:c r="R47" s="24" t="n">
        <x:f>O47*P47*Q47</x:f>
        <x:v>17.696696084042227</x:v>
      </x:c>
      <x:c r="S47" s="24" t="n">
        <x:f>P47*(1-Q47)</x:f>
        <x:v>2.091516519579789</x:v>
      </x:c>
      <x:c r="T47" s="24" t="n">
        <x:f>O47*S47</x:f>
        <x:v>418.30330391595777</x:v>
      </x:c>
      <x:c r="U47" t="str">
        <x:v>NORTE</x:v>
      </x:c>
      <x:c r="V47" t="str">
        <x:v>Farmacia Norte</x:v>
      </x:c>
      <x:c r="W47" t="str">
        <x:v>Zona Norte</x:v>
      </x:c>
      <x:c r="X47" t="str">
        <x:v>Quito</x:v>
      </x:c>
      <x:c r="Y47" s="32" t="str">
        <x:v>Av. 10 de Agosto N45-20</x:v>
      </x:c>
      <x:c r="Z47" s="22" t="n">
        <x:v>46220</x:v>
      </x:c>
      <x:c r="AA47" t="str">
        <x:v>Recibido</x:v>
      </x:c>
      <x:c r="AB47" t="str">
        <x:v>Contado contra entrega</x:v>
      </x:c>
      <x:c r="AC47" s="32" t="str"/>
    </x:row>
    <x:row r="48">
      <x:c r="A48" t="n">
        <x:v>47</x:v>
      </x:c>
      <x:c r="B48" s="22" t="n">
        <x:v>46059</x:v>
      </x:c>
      <x:c r="C48" t="str">
        <x:v>OC-2026-0047</x:v>
      </x:c>
      <x:c r="D48" t="str">
        <x:v>F-D008-202602-6978</x:v>
      </x:c>
      <x:c r="E48" t="str">
        <x:v>L2602-001-0047</x:v>
      </x:c>
      <x:c r="F48" t="str">
        <x:v>D008</x:v>
      </x:c>
      <x:c r="G48" s="32" t="str">
        <x:v>Mayorista MedicPlus</x:v>
      </x:c>
      <x:c r="H48" t="str">
        <x:v>MED001</x:v>
      </x:c>
      <x:c r="I48" s="32" t="str">
        <x:v>Paracetamol 500 mg</x:v>
      </x:c>
      <x:c r="J48" s="32" t="str">
        <x:v>Analgésicos</x:v>
      </x:c>
      <x:c r="K48" s="32" t="str">
        <x:v>Genfar</x:v>
      </x:c>
      <x:c r="L48" s="32" t="str">
        <x:v>Caja x 20 tabletas</x:v>
      </x:c>
      <x:c r="M48" s="28" t="n">
        <x:v>72</x:v>
      </x:c>
      <x:c r="N48" s="28" t="n">
        <x:v>10</x:v>
      </x:c>
      <x:c r="O48" s="28" t="n">
        <x:f>M48*N48</x:f>
        <x:v>720</x:v>
      </x:c>
      <x:c r="P48" s="24" t="n">
        <x:v>0.82</x:v>
      </x:c>
      <x:c r="Q48" s="26" t="n">
        <x:v>0.11758261128977979</x:v>
      </x:c>
      <x:c r="R48" s="24" t="n">
        <x:f>O48*P48*Q48</x:f>
        <x:v>69.42077370548598</x:v>
      </x:c>
      <x:c r="S48" s="24" t="n">
        <x:f>P48*(1-Q48)</x:f>
        <x:v>0.7235822587423806</x:v>
      </x:c>
      <x:c r="T48" s="24" t="n">
        <x:f>O48*S48</x:f>
        <x:v>520.979226294514</x:v>
      </x:c>
      <x:c r="U48" t="str">
        <x:v>CENTRO</x:v>
      </x:c>
      <x:c r="V48" t="str">
        <x:v>Farmacia Centro Histórico</x:v>
      </x:c>
      <x:c r="W48" t="str">
        <x:v>Zona Centro</x:v>
      </x:c>
      <x:c r="X48" t="str">
        <x:v>Quito</x:v>
      </x:c>
      <x:c r="Y48" s="32" t="str">
        <x:v>Guayaquil y Chile</x:v>
      </x:c>
      <x:c r="Z48" s="22" t="n">
        <x:v>46062</x:v>
      </x:c>
      <x:c r="AA48" t="str">
        <x:v>Recibido</x:v>
      </x:c>
      <x:c r="AB48" t="str">
        <x:v>30 días crédito</x:v>
      </x:c>
      <x:c r="AC48" s="32" t="str"/>
    </x:row>
    <x:row r="49">
      <x:c r="A49" t="n">
        <x:v>48</x:v>
      </x:c>
      <x:c r="B49" s="22" t="n">
        <x:v>45874</x:v>
      </x:c>
      <x:c r="C49" t="str">
        <x:v>OC-2025-0048</x:v>
      </x:c>
      <x:c r="D49" t="str">
        <x:v>F-D004-202508-1216</x:v>
      </x:c>
      <x:c r="E49" t="str">
        <x:v>L2508-003-0048</x:v>
      </x:c>
      <x:c r="F49" t="str">
        <x:v>D004</x:v>
      </x:c>
      <x:c r="G49" s="32" t="str">
        <x:v>Distribuidora Salud Total</x:v>
      </x:c>
      <x:c r="H49" t="str">
        <x:v>MED003</x:v>
      </x:c>
      <x:c r="I49" s="32" t="str">
        <x:v>Amoxicilina 500 mg</x:v>
      </x:c>
      <x:c r="J49" s="32" t="str">
        <x:v>Antibióticos</x:v>
      </x:c>
      <x:c r="K49" s="32" t="str">
        <x:v>Acromax</x:v>
      </x:c>
      <x:c r="L49" s="32" t="str">
        <x:v>Caja x 21 cápsulas</x:v>
      </x:c>
      <x:c r="M49" s="28" t="n">
        <x:v>3</x:v>
      </x:c>
      <x:c r="N49" s="28" t="n">
        <x:v>50</x:v>
      </x:c>
      <x:c r="O49" s="28" t="n">
        <x:f>M49*N49</x:f>
        <x:v>150</x:v>
      </x:c>
      <x:c r="P49" s="24" t="n">
        <x:v>4.01</x:v>
      </x:c>
      <x:c r="Q49" s="26" t="n">
        <x:v>0.07979956520216037</x:v>
      </x:c>
      <x:c r="R49" s="24" t="n">
        <x:f>O49*P49*Q49</x:f>
        <x:v>47.999438469099466</x:v>
      </x:c>
      <x:c r="S49" s="24" t="n">
        <x:f>P49*(1-Q49)</x:f>
        <x:v>3.6900037435393367</x:v>
      </x:c>
      <x:c r="T49" s="24" t="n">
        <x:f>O49*S49</x:f>
        <x:v>553.5005615309005</x:v>
      </x:c>
      <x:c r="U49" t="str">
        <x:v>VALLE</x:v>
      </x:c>
      <x:c r="V49" t="str">
        <x:v>Farmacia Valle de los Chillos</x:v>
      </x:c>
      <x:c r="W49" t="str">
        <x:v>Zona Valle</x:v>
      </x:c>
      <x:c r="X49" t="str">
        <x:v>Sangolquí</x:v>
      </x:c>
      <x:c r="Y49" s="32" t="str">
        <x:v>Av. Calderón 101</x:v>
      </x:c>
      <x:c r="Z49" s="22" t="n">
        <x:v>45875</x:v>
      </x:c>
      <x:c r="AA49" t="str">
        <x:v>Recibido</x:v>
      </x:c>
      <x:c r="AB49" t="str">
        <x:v>45 días crédito</x:v>
      </x:c>
      <x:c r="AC49" s="32" t="str"/>
    </x:row>
    <x:row r="50">
      <x:c r="A50" t="n">
        <x:v>49</x:v>
      </x:c>
      <x:c r="B50" s="22" t="n">
        <x:v>46328</x:v>
      </x:c>
      <x:c r="C50" t="str">
        <x:v>OC-2026-0049</x:v>
      </x:c>
      <x:c r="D50" t="str">
        <x:v>F-D005-202611-4115</x:v>
      </x:c>
      <x:c r="E50" t="str">
        <x:v>L2611-001-0049</x:v>
      </x:c>
      <x:c r="F50" t="str">
        <x:v>D005</x:v>
      </x:c>
      <x:c r="G50" s="32" t="str">
        <x:v>PharmaExpress Quito</x:v>
      </x:c>
      <x:c r="H50" t="str">
        <x:v>MED001</x:v>
      </x:c>
      <x:c r="I50" s="32" t="str">
        <x:v>Paracetamol 500 mg</x:v>
      </x:c>
      <x:c r="J50" s="32" t="str">
        <x:v>Analgésicos</x:v>
      </x:c>
      <x:c r="K50" s="32" t="str">
        <x:v>Genfar</x:v>
      </x:c>
      <x:c r="L50" s="32" t="str">
        <x:v>Caja x 20 tabletas</x:v>
      </x:c>
      <x:c r="M50" s="28" t="n">
        <x:v>10</x:v>
      </x:c>
      <x:c r="N50" s="28" t="n">
        <x:v>50</x:v>
      </x:c>
      <x:c r="O50" s="28" t="n">
        <x:f>M50*N50</x:f>
        <x:v>500</x:v>
      </x:c>
      <x:c r="P50" s="24" t="n">
        <x:v>0.96</x:v>
      </x:c>
      <x:c r="Q50" s="26" t="n">
        <x:v>0.10784855010177195</x:v>
      </x:c>
      <x:c r="R50" s="24" t="n">
        <x:f>O50*P50*Q50</x:f>
        <x:v>51.76730404885054</x:v>
      </x:c>
      <x:c r="S50" s="24" t="n">
        <x:f>P50*(1-Q50)</x:f>
        <x:v>0.8564653919022989</x:v>
      </x:c>
      <x:c r="T50" s="24" t="n">
        <x:f>O50*S50</x:f>
        <x:v>428.2326959511494</x:v>
      </x:c>
      <x:c r="U50" t="str">
        <x:v>CENTRO</x:v>
      </x:c>
      <x:c r="V50" t="str">
        <x:v>Farmacia Centro Histórico</x:v>
      </x:c>
      <x:c r="W50" t="str">
        <x:v>Zona Centro</x:v>
      </x:c>
      <x:c r="X50" t="str">
        <x:v>Quito</x:v>
      </x:c>
      <x:c r="Y50" s="32" t="str">
        <x:v>Guayaquil y Chile</x:v>
      </x:c>
      <x:c r="Z50" s="22" t="n">
        <x:v>46333</x:v>
      </x:c>
      <x:c r="AA50" t="str">
        <x:v>Recibido</x:v>
      </x:c>
      <x:c r="AB50" t="str">
        <x:v>30 días crédito</x:v>
      </x:c>
      <x:c r="AC50" s="32" t="str">
        <x:v>Entrega coordinada fuera de horario regular</x:v>
      </x:c>
    </x:row>
    <x:row r="51">
      <x:c r="A51" t="n">
        <x:v>50</x:v>
      </x:c>
      <x:c r="B51" s="22" t="n">
        <x:v>46329</x:v>
      </x:c>
      <x:c r="C51" t="str">
        <x:v>OC-2026-0050</x:v>
      </x:c>
      <x:c r="D51" t="str">
        <x:v>F-D008-202611-4654</x:v>
      </x:c>
      <x:c r="E51" t="str">
        <x:v>L2611-005-0050</x:v>
      </x:c>
      <x:c r="F51" t="str">
        <x:v>D008</x:v>
      </x:c>
      <x:c r="G51" s="32" t="str">
        <x:v>Mayorista MedicPlus</x:v>
      </x:c>
      <x:c r="H51" t="str">
        <x:v>MED005</x:v>
      </x:c>
      <x:c r="I51" s="32" t="str">
        <x:v>Loratadina 10 mg</x:v>
      </x:c>
      <x:c r="J51" s="32" t="str">
        <x:v>Antigripales</x:v>
      </x:c>
      <x:c r="K51" s="32" t="str">
        <x:v>Genfar</x:v>
      </x:c>
      <x:c r="L51" s="32" t="str">
        <x:v>Caja x 10 tabletas</x:v>
      </x:c>
      <x:c r="M51" s="28" t="n">
        <x:v>60</x:v>
      </x:c>
      <x:c r="N51" s="28" t="n">
        <x:v>10</x:v>
      </x:c>
      <x:c r="O51" s="28" t="n">
        <x:f>M51*N51</x:f>
        <x:v>600</x:v>
      </x:c>
      <x:c r="P51" s="24" t="n">
        <x:v>1.06</x:v>
      </x:c>
      <x:c r="Q51" s="26" t="n">
        <x:v>0.1026786458059036</x:v>
      </x:c>
      <x:c r="R51" s="24" t="n">
        <x:f>O51*P51*Q51</x:f>
        <x:v>65.3036187325547</x:v>
      </x:c>
      <x:c r="S51" s="24" t="n">
        <x:f>P51*(1-Q51)</x:f>
        <x:v>0.9511606354457423</x:v>
      </x:c>
      <x:c r="T51" s="24" t="n">
        <x:f>O51*S51</x:f>
        <x:v>570.6963812674453</x:v>
      </x:c>
      <x:c r="U51" t="str">
        <x:v>NORTE</x:v>
      </x:c>
      <x:c r="V51" t="str">
        <x:v>Farmacia Norte</x:v>
      </x:c>
      <x:c r="W51" t="str">
        <x:v>Zona Norte</x:v>
      </x:c>
      <x:c r="X51" t="str">
        <x:v>Quito</x:v>
      </x:c>
      <x:c r="Y51" s="32" t="str">
        <x:v>Av. 10 de Agosto N45-20</x:v>
      </x:c>
      <x:c r="Z51" s="22" t="n">
        <x:v>46331</x:v>
      </x:c>
      <x:c r="AA51" t="str">
        <x:v>Recibido</x:v>
      </x:c>
      <x:c r="AB51" t="str">
        <x:v>30 días crédito</x:v>
      </x:c>
      <x:c r="AC51" s="32" t="str"/>
    </x:row>
    <x:row r="52">
      <x:c r="A52" t="n">
        <x:v>51</x:v>
      </x:c>
      <x:c r="B52" s="22" t="n">
        <x:v>46038</x:v>
      </x:c>
      <x:c r="C52" t="str">
        <x:v>OC-2026-0051</x:v>
      </x:c>
      <x:c r="D52" t="str">
        <x:v>F-D003-202601-7489</x:v>
      </x:c>
      <x:c r="E52" t="str">
        <x:v>L2601-002-0051</x:v>
      </x:c>
      <x:c r="F52" t="str">
        <x:v>D003</x:v>
      </x:c>
      <x:c r="G52" s="32" t="str">
        <x:v>FarmaLogística Sierra</x:v>
      </x:c>
      <x:c r="H52" t="str">
        <x:v>MED002</x:v>
      </x:c>
      <x:c r="I52" s="32" t="str">
        <x:v>Ibuprofeno 400 mg</x:v>
      </x:c>
      <x:c r="J52" s="32" t="str">
        <x:v>Analgésicos</x:v>
      </x:c>
      <x:c r="K52" s="32" t="str">
        <x:v>La Santé</x:v>
      </x:c>
      <x:c r="L52" s="32" t="str">
        <x:v>Caja x 20 tabletas</x:v>
      </x:c>
      <x:c r="M52" s="28" t="n">
        <x:v>15</x:v>
      </x:c>
      <x:c r="N52" s="28" t="n">
        <x:v>24</x:v>
      </x:c>
      <x:c r="O52" s="28" t="n">
        <x:f>M52*N52</x:f>
        <x:v>360</x:v>
      </x:c>
      <x:c r="P52" s="24" t="n">
        <x:v>1.14</x:v>
      </x:c>
      <x:c r="Q52" s="26" t="n">
        <x:v>0.0614286983434426</x:v>
      </x:c>
      <x:c r="R52" s="24" t="n">
        <x:f>O52*P52*Q52</x:f>
        <x:v>25.210337800148842</x:v>
      </x:c>
      <x:c r="S52" s="24" t="n">
        <x:f>P52*(1-Q52)</x:f>
        <x:v>1.0699712838884754</x:v>
      </x:c>
      <x:c r="T52" s="24" t="n">
        <x:f>O52*S52</x:f>
        <x:v>385.18966219985117</x:v>
      </x:c>
      <x:c r="U52" t="str">
        <x:v>NORTE</x:v>
      </x:c>
      <x:c r="V52" t="str">
        <x:v>Farmacia Norte</x:v>
      </x:c>
      <x:c r="W52" t="str">
        <x:v>Zona Norte</x:v>
      </x:c>
      <x:c r="X52" t="str">
        <x:v>Quito</x:v>
      </x:c>
      <x:c r="Y52" s="32" t="str">
        <x:v>Av. 10 de Agosto N45-20</x:v>
      </x:c>
      <x:c r="Z52" s="22" t="n">
        <x:v>46042</x:v>
      </x:c>
      <x:c r="AA52" t="str">
        <x:v>Recibido</x:v>
      </x:c>
      <x:c r="AB52" t="str">
        <x:v>Contado contra entrega</x:v>
      </x:c>
      <x:c r="AC52" s="32" t="str"/>
    </x:row>
    <x:row r="53">
      <x:c r="A53" t="n">
        <x:v>52</x:v>
      </x:c>
      <x:c r="B53" s="22" t="n">
        <x:v>46147</x:v>
      </x:c>
      <x:c r="C53" t="str">
        <x:v>OC-2026-0052</x:v>
      </x:c>
      <x:c r="D53" t="str">
        <x:v>F-D005-202605-1608</x:v>
      </x:c>
      <x:c r="E53" t="str">
        <x:v>L2605-008-0052</x:v>
      </x:c>
      <x:c r="F53" t="str">
        <x:v>D005</x:v>
      </x:c>
      <x:c r="G53" s="32" t="str">
        <x:v>PharmaExpress Quito</x:v>
      </x:c>
      <x:c r="H53" t="str">
        <x:v>MED008</x:v>
      </x:c>
      <x:c r="I53" s="32" t="str">
        <x:v>Diclofenaco gel</x:v>
      </x:c>
      <x:c r="J53" s="32" t="str">
        <x:v>Dermatológicos</x:v>
      </x:c>
      <x:c r="K53" s="32" t="str">
        <x:v>Bayer</x:v>
      </x:c>
      <x:c r="L53" s="32" t="str">
        <x:v>Tubo 50 g</x:v>
      </x:c>
      <x:c r="M53" s="28" t="n">
        <x:v>24</x:v>
      </x:c>
      <x:c r="N53" s="28" t="n">
        <x:v>20</x:v>
      </x:c>
      <x:c r="O53" s="28" t="n">
        <x:f>M53*N53</x:f>
        <x:v>480</x:v>
      </x:c>
      <x:c r="P53" s="24" t="n">
        <x:v>2.09</x:v>
      </x:c>
      <x:c r="Q53" s="26" t="n">
        <x:v>0.0834084142568299</x:v>
      </x:c>
      <x:c r="R53" s="24" t="n">
        <x:f>O53*P53*Q53</x:f>
        <x:v>83.67532118245175</x:v>
      </x:c>
      <x:c r="S53" s="24" t="n">
        <x:f>P53*(1-Q53)</x:f>
        <x:v>1.9156764142032254</x:v>
      </x:c>
      <x:c r="T53" s="24" t="n">
        <x:f>O53*S53</x:f>
        <x:v>919.5246788175482</x:v>
      </x:c>
      <x:c r="U53" t="str">
        <x:v>CENTRO</x:v>
      </x:c>
      <x:c r="V53" t="str">
        <x:v>Farmacia Centro Histórico</x:v>
      </x:c>
      <x:c r="W53" t="str">
        <x:v>Zona Centro</x:v>
      </x:c>
      <x:c r="X53" t="str">
        <x:v>Quito</x:v>
      </x:c>
      <x:c r="Y53" s="32" t="str">
        <x:v>Guayaquil y Chile</x:v>
      </x:c>
      <x:c r="Z53" s="22" t="n">
        <x:v>46148</x:v>
      </x:c>
      <x:c r="AA53" t="str">
        <x:v>Recibido</x:v>
      </x:c>
      <x:c r="AB53" t="str">
        <x:v>30 días crédito</x:v>
      </x:c>
      <x:c r="AC53" s="32" t="str"/>
    </x:row>
    <x:row r="54">
      <x:c r="A54" t="n">
        <x:v>53</x:v>
      </x:c>
      <x:c r="B54" s="22" t="n">
        <x:v>45973</x:v>
      </x:c>
      <x:c r="C54" t="str">
        <x:v>OC-2025-0053</x:v>
      </x:c>
      <x:c r="D54" t="str">
        <x:v>F-D004-202511-3805</x:v>
      </x:c>
      <x:c r="E54" t="str">
        <x:v>L2511-014-0053</x:v>
      </x:c>
      <x:c r="F54" t="str">
        <x:v>D004</x:v>
      </x:c>
      <x:c r="G54" s="32" t="str">
        <x:v>Distribuidora Salud Total</x:v>
      </x:c>
      <x:c r="H54" t="str">
        <x:v>MED014</x:v>
      </x:c>
      <x:c r="I54" s="32" t="str">
        <x:v>Crema antimicótica</x:v>
      </x:c>
      <x:c r="J54" s="32" t="str">
        <x:v>Dermatológicos</x:v>
      </x:c>
      <x:c r="K54" s="32" t="str">
        <x:v>Acromax</x:v>
      </x:c>
      <x:c r="L54" s="32" t="str">
        <x:v>Tubo 30 g</x:v>
      </x:c>
      <x:c r="M54" s="28" t="n">
        <x:v>10</x:v>
      </x:c>
      <x:c r="N54" s="28" t="n">
        <x:v>10</x:v>
      </x:c>
      <x:c r="O54" s="28" t="n">
        <x:f>M54*N54</x:f>
        <x:v>100</x:v>
      </x:c>
      <x:c r="P54" s="24" t="n">
        <x:v>2.43</x:v>
      </x:c>
      <x:c r="Q54" s="26" t="n">
        <x:v>0.12771218346748975</x:v>
      </x:c>
      <x:c r="R54" s="24" t="n">
        <x:f>O54*P54*Q54</x:f>
        <x:v>31.034060582600013</x:v>
      </x:c>
      <x:c r="S54" s="24" t="n">
        <x:f>P54*(1-Q54)</x:f>
        <x:v>2.119659394174</x:v>
      </x:c>
      <x:c r="T54" s="24" t="n">
        <x:f>O54*S54</x:f>
        <x:v>211.9659394174</x:v>
      </x:c>
      <x:c r="U54" t="str">
        <x:v>NORTE</x:v>
      </x:c>
      <x:c r="V54" t="str">
        <x:v>Farmacia Norte</x:v>
      </x:c>
      <x:c r="W54" t="str">
        <x:v>Zona Norte</x:v>
      </x:c>
      <x:c r="X54" t="str">
        <x:v>Quito</x:v>
      </x:c>
      <x:c r="Y54" s="32" t="str">
        <x:v>Av. 10 de Agosto N45-20</x:v>
      </x:c>
      <x:c r="Z54" s="22" t="n">
        <x:v>45977</x:v>
      </x:c>
      <x:c r="AA54" t="str">
        <x:v>Recibido</x:v>
      </x:c>
      <x:c r="AB54" t="str">
        <x:v>45 días crédito</x:v>
      </x:c>
      <x:c r="AC54" s="32" t="str">
        <x:v>Entrega coordinada fuera de horario regular</x:v>
      </x:c>
    </x:row>
    <x:row r="55">
      <x:c r="A55" t="n">
        <x:v>54</x:v>
      </x:c>
      <x:c r="B55" s="22" t="n">
        <x:v>46220</x:v>
      </x:c>
      <x:c r="C55" t="str">
        <x:v>OC-2026-0054</x:v>
      </x:c>
      <x:c r="D55" t="str">
        <x:v>F-D004-202607-2036</x:v>
      </x:c>
      <x:c r="E55" t="str">
        <x:v>L2607-011-0054</x:v>
      </x:c>
      <x:c r="F55" t="str">
        <x:v>D004</x:v>
      </x:c>
      <x:c r="G55" s="32" t="str">
        <x:v>Distribuidora Salud Total</x:v>
      </x:c>
      <x:c r="H55" t="str">
        <x:v>MED011</x:v>
      </x:c>
      <x:c r="I55" s="32" t="str">
        <x:v>Jarabe antigripal</x:v>
      </x:c>
      <x:c r="J55" s="32" t="str">
        <x:v>Antigripales</x:v>
      </x:c>
      <x:c r="K55" s="32" t="str">
        <x:v>MEDICAMENTA</x:v>
      </x:c>
      <x:c r="L55" s="32" t="str">
        <x:v>Frasco 120 ml</x:v>
      </x:c>
      <x:c r="M55" s="28" t="n">
        <x:v>10</x:v>
      </x:c>
      <x:c r="N55" s="28" t="n">
        <x:v>24</x:v>
      </x:c>
      <x:c r="O55" s="28" t="n">
        <x:f>M55*N55</x:f>
        <x:v>240</x:v>
      </x:c>
      <x:c r="P55" s="24" t="n">
        <x:v>2.53</x:v>
      </x:c>
      <x:c r="Q55" s="26" t="n">
        <x:v>0.11387109695197108</x:v>
      </x:c>
      <x:c r="R55" s="24" t="n">
        <x:f>O55*P55*Q55</x:f>
        <x:v>69.14253006923683</x:v>
      </x:c>
      <x:c r="S55" s="24" t="n">
        <x:f>P55*(1-Q55)</x:f>
        <x:v>2.241906124711513</x:v>
      </x:c>
      <x:c r="T55" s="24" t="n">
        <x:f>O55*S55</x:f>
        <x:v>538.0574699307631</x:v>
      </x:c>
      <x:c r="U55" t="str">
        <x:v>NORTE</x:v>
      </x:c>
      <x:c r="V55" t="str">
        <x:v>Farmacia Norte</x:v>
      </x:c>
      <x:c r="W55" t="str">
        <x:v>Zona Norte</x:v>
      </x:c>
      <x:c r="X55" t="str">
        <x:v>Quito</x:v>
      </x:c>
      <x:c r="Y55" s="32" t="str">
        <x:v>Av. 10 de Agosto N45-20</x:v>
      </x:c>
      <x:c r="Z55" s="22" t="n">
        <x:v>46222</x:v>
      </x:c>
      <x:c r="AA55" t="str">
        <x:v>Recibido</x:v>
      </x:c>
      <x:c r="AB55" t="str">
        <x:v>45 días crédito</x:v>
      </x:c>
      <x:c r="AC55" s="32" t="str">
        <x:v>Entrega coordinada fuera de horario regular</x:v>
      </x:c>
    </x:row>
    <x:row r="56">
      <x:c r="A56" t="n">
        <x:v>55</x:v>
      </x:c>
      <x:c r="B56" s="22" t="n">
        <x:v>46333</x:v>
      </x:c>
      <x:c r="C56" t="str">
        <x:v>OC-2026-0055</x:v>
      </x:c>
      <x:c r="D56" t="str">
        <x:v>F-D006-202611-3357</x:v>
      </x:c>
      <x:c r="E56" t="str">
        <x:v>L2611-007-0055</x:v>
      </x:c>
      <x:c r="F56" t="str">
        <x:v>D006</x:v>
      </x:c>
      <x:c r="G56" s="32" t="str">
        <x:v>Insumos Médicos del Pacífico</x:v>
      </x:c>
      <x:c r="H56" t="str">
        <x:v>MED007</x:v>
      </x:c>
      <x:c r="I56" s="32" t="str">
        <x:v>Omeprazol 20 mg</x:v>
      </x:c>
      <x:c r="J56" s="32" t="str">
        <x:v>Gastrointestinales</x:v>
      </x:c>
      <x:c r="K56" s="32" t="str">
        <x:v>La Santé</x:v>
      </x:c>
      <x:c r="L56" s="32" t="str">
        <x:v>Caja x 30 cápsulas</x:v>
      </x:c>
      <x:c r="M56" s="28" t="n">
        <x:v>5</x:v>
      </x:c>
      <x:c r="N56" s="28" t="n">
        <x:v>60</x:v>
      </x:c>
      <x:c r="O56" s="28" t="n">
        <x:f>M56*N56</x:f>
        <x:v>300</x:v>
      </x:c>
      <x:c r="P56" s="24" t="n">
        <x:v>3.04</x:v>
      </x:c>
      <x:c r="Q56" s="26" t="n">
        <x:v>0.09799389293793005</x:v>
      </x:c>
      <x:c r="R56" s="24" t="n">
        <x:f>O56*P56*Q56</x:f>
        <x:v>89.3704303593922</x:v>
      </x:c>
      <x:c r="S56" s="24" t="n">
        <x:f>P56*(1-Q56)</x:f>
        <x:v>2.7420985654686927</x:v>
      </x:c>
      <x:c r="T56" s="24" t="n">
        <x:f>O56*S56</x:f>
        <x:v>822.6295696406078</x:v>
      </x:c>
      <x:c r="U56" t="str">
        <x:v>CENTRO</x:v>
      </x:c>
      <x:c r="V56" t="str">
        <x:v>Farmacia Centro Histórico</x:v>
      </x:c>
      <x:c r="W56" t="str">
        <x:v>Zona Centro</x:v>
      </x:c>
      <x:c r="X56" t="str">
        <x:v>Quito</x:v>
      </x:c>
      <x:c r="Y56" s="32" t="str">
        <x:v>Guayaquil y Chile</x:v>
      </x:c>
      <x:c r="Z56" s="22" t="n">
        <x:v>46336</x:v>
      </x:c>
      <x:c r="AA56" t="str">
        <x:v>Recibido</x:v>
      </x:c>
      <x:c r="AB56" t="str">
        <x:v>60 días crédito</x:v>
      </x:c>
      <x:c r="AC56" s="32" t="str"/>
    </x:row>
    <x:row r="57">
      <x:c r="A57" t="n">
        <x:v>56</x:v>
      </x:c>
      <x:c r="B57" s="22" t="n">
        <x:v>45941</x:v>
      </x:c>
      <x:c r="C57" t="str">
        <x:v>OC-2025-0056</x:v>
      </x:c>
      <x:c r="D57" t="str">
        <x:v>F-D001-202510-7916</x:v>
      </x:c>
      <x:c r="E57" t="str">
        <x:v>L2510-002-0056</x:v>
      </x:c>
      <x:c r="F57" t="str">
        <x:v>D001</x:v>
      </x:c>
      <x:c r="G57" s="32" t="str">
        <x:v>DistriFarma Andina S.A.</x:v>
      </x:c>
      <x:c r="H57" t="str">
        <x:v>MED002</x:v>
      </x:c>
      <x:c r="I57" s="32" t="str">
        <x:v>Ibuprofeno 400 mg</x:v>
      </x:c>
      <x:c r="J57" s="32" t="str">
        <x:v>Analgésicos</x:v>
      </x:c>
      <x:c r="K57" s="32" t="str">
        <x:v>La Santé</x:v>
      </x:c>
      <x:c r="L57" s="32" t="str">
        <x:v>Caja x 20 tabletas</x:v>
      </x:c>
      <x:c r="M57" s="28" t="n">
        <x:v>8</x:v>
      </x:c>
      <x:c r="N57" s="28" t="n">
        <x:v>20</x:v>
      </x:c>
      <x:c r="O57" s="28" t="n">
        <x:f>M57*N57</x:f>
        <x:v>160</x:v>
      </x:c>
      <x:c r="P57" s="24" t="n">
        <x:v>1.09</x:v>
      </x:c>
      <x:c r="Q57" s="26" t="n">
        <x:v>0.06309508234731791</x:v>
      </x:c>
      <x:c r="R57" s="24" t="n">
        <x:f>O57*P57*Q57</x:f>
        <x:v>11.003782361372243</x:v>
      </x:c>
      <x:c r="S57" s="24" t="n">
        <x:f>P57*(1-Q57)</x:f>
        <x:v>1.0212263602414235</x:v>
      </x:c>
      <x:c r="T57" s="24" t="n">
        <x:f>O57*S57</x:f>
        <x:v>163.39621763862777</x:v>
      </x:c>
      <x:c r="U57" t="str">
        <x:v>CENTRO</x:v>
      </x:c>
      <x:c r="V57" t="str">
        <x:v>Farmacia Centro Histórico</x:v>
      </x:c>
      <x:c r="W57" t="str">
        <x:v>Zona Centro</x:v>
      </x:c>
      <x:c r="X57" t="str">
        <x:v>Quito</x:v>
      </x:c>
      <x:c r="Y57" s="32" t="str">
        <x:v>Guayaquil y Chile</x:v>
      </x:c>
      <x:c r="Z57" s="22" t="n">
        <x:v>45942</x:v>
      </x:c>
      <x:c r="AA57" t="str">
        <x:v>Recibido</x:v>
      </x:c>
      <x:c r="AB57" t="str">
        <x:v>30 días crédito</x:v>
      </x:c>
      <x:c r="AC57" s="32" t="str">
        <x:v>Entrega coordinada fuera de horario regular</x:v>
      </x:c>
    </x:row>
    <x:row r="58">
      <x:c r="A58" t="n">
        <x:v>57</x:v>
      </x:c>
      <x:c r="B58" s="22" t="n">
        <x:v>45780</x:v>
      </x:c>
      <x:c r="C58" t="str">
        <x:v>OC-2025-0057</x:v>
      </x:c>
      <x:c r="D58" t="str">
        <x:v>F-D006-202505-8440</x:v>
      </x:c>
      <x:c r="E58" t="str">
        <x:v>L2505-013-0057</x:v>
      </x:c>
      <x:c r="F58" t="str">
        <x:v>D006</x:v>
      </x:c>
      <x:c r="G58" s="32" t="str">
        <x:v>Insumos Médicos del Pacífico</x:v>
      </x:c>
      <x:c r="H58" t="str">
        <x:v>MED013</x:v>
      </x:c>
      <x:c r="I58" s="32" t="str">
        <x:v>Probióticos</x:v>
      </x:c>
      <x:c r="J58" s="32" t="str">
        <x:v>Gastrointestinales</x:v>
      </x:c>
      <x:c r="K58" s="32" t="str">
        <x:v>Laboratorios Bagó</x:v>
      </x:c>
      <x:c r="L58" s="32" t="str">
        <x:v>Caja x 10 sobres</x:v>
      </x:c>
      <x:c r="M58" s="28" t="n">
        <x:v>5</x:v>
      </x:c>
      <x:c r="N58" s="28" t="n">
        <x:v>24</x:v>
      </x:c>
      <x:c r="O58" s="28" t="n">
        <x:f>M58*N58</x:f>
        <x:v>120</x:v>
      </x:c>
      <x:c r="P58" s="24" t="n">
        <x:v>5.57</x:v>
      </x:c>
      <x:c r="Q58" s="26" t="n">
        <x:v>0.12324406995154458</x:v>
      </x:c>
      <x:c r="R58" s="24" t="n">
        <x:f>O58*P58*Q58</x:f>
        <x:v>82.37633635561241</x:v>
      </x:c>
      <x:c r="S58" s="24" t="n">
        <x:f>P58*(1-Q58)</x:f>
        <x:v>4.883530530369897</x:v>
      </x:c>
      <x:c r="T58" s="24" t="n">
        <x:f>O58*S58</x:f>
        <x:v>586.0236636443876</x:v>
      </x:c>
      <x:c r="U58" t="str">
        <x:v>SUR</x:v>
      </x:c>
      <x:c r="V58" t="str">
        <x:v>Farmacia del Sur</x:v>
      </x:c>
      <x:c r="W58" t="str">
        <x:v>Zona Sur</x:v>
      </x:c>
      <x:c r="X58" t="str">
        <x:v>Quito</x:v>
      </x:c>
      <x:c r="Y58" s="32" t="str">
        <x:v>Av. Maldonado S25-10</x:v>
      </x:c>
      <x:c r="Z58" s="22" t="n">
        <x:v>45782</x:v>
      </x:c>
      <x:c r="AA58" t="str">
        <x:v>Recibido</x:v>
      </x:c>
      <x:c r="AB58" t="str">
        <x:v>60 días crédito</x:v>
      </x:c>
      <x:c r="AC58" s="32" t="str"/>
    </x:row>
    <x:row r="59">
      <x:c r="A59" t="n">
        <x:v>58</x:v>
      </x:c>
      <x:c r="B59" s="22" t="n">
        <x:v>46208</x:v>
      </x:c>
      <x:c r="C59" t="str">
        <x:v>OC-2026-0058</x:v>
      </x:c>
      <x:c r="D59" t="str">
        <x:v>F-D005-202607-9576</x:v>
      </x:c>
      <x:c r="E59" t="str">
        <x:v>L2607-001-0058</x:v>
      </x:c>
      <x:c r="F59" t="str">
        <x:v>D005</x:v>
      </x:c>
      <x:c r="G59" s="32" t="str">
        <x:v>PharmaExpress Quito</x:v>
      </x:c>
      <x:c r="H59" t="str">
        <x:v>MED001</x:v>
      </x:c>
      <x:c r="I59" s="32" t="str">
        <x:v>Paracetamol 500 mg</x:v>
      </x:c>
      <x:c r="J59" s="32" t="str">
        <x:v>Analgésicos</x:v>
      </x:c>
      <x:c r="K59" s="32" t="str">
        <x:v>Genfar</x:v>
      </x:c>
      <x:c r="L59" s="32" t="str">
        <x:v>Caja x 20 tabletas</x:v>
      </x:c>
      <x:c r="M59" s="28" t="n">
        <x:v>18</x:v>
      </x:c>
      <x:c r="N59" s="28" t="n">
        <x:v>20</x:v>
      </x:c>
      <x:c r="O59" s="28" t="n">
        <x:f>M59*N59</x:f>
        <x:v>360</x:v>
      </x:c>
      <x:c r="P59" s="24" t="n">
        <x:v>0.85</x:v>
      </x:c>
      <x:c r="Q59" s="26" t="n">
        <x:v>0.07609331629285644</x:v>
      </x:c>
      <x:c r="R59" s="24" t="n">
        <x:f>O59*P59*Q59</x:f>
        <x:v>23.28455478561407</x:v>
      </x:c>
      <x:c r="S59" s="24" t="n">
        <x:f>P59*(1-Q59)</x:f>
        <x:v>0.785320681151072</x:v>
      </x:c>
      <x:c r="T59" s="24" t="n">
        <x:f>O59*S59</x:f>
        <x:v>282.7154452143859</x:v>
      </x:c>
      <x:c r="U59" t="str">
        <x:v>CENTRO</x:v>
      </x:c>
      <x:c r="V59" t="str">
        <x:v>Farmacia Centro Histórico</x:v>
      </x:c>
      <x:c r="W59" t="str">
        <x:v>Zona Centro</x:v>
      </x:c>
      <x:c r="X59" t="str">
        <x:v>Quito</x:v>
      </x:c>
      <x:c r="Y59" s="32" t="str">
        <x:v>Guayaquil y Chile</x:v>
      </x:c>
      <x:c r="Z59" s="22" t="n">
        <x:v>46213</x:v>
      </x:c>
      <x:c r="AA59" t="str">
        <x:v>Recibido</x:v>
      </x:c>
      <x:c r="AB59" t="str">
        <x:v>30 días crédito</x:v>
      </x:c>
      <x:c r="AC59" s="32" t="str"/>
    </x:row>
    <x:row r="60">
      <x:c r="A60" t="n">
        <x:v>59</x:v>
      </x:c>
      <x:c r="B60" s="22" t="n">
        <x:v>45922</x:v>
      </x:c>
      <x:c r="C60" t="str">
        <x:v>OC-2025-0059</x:v>
      </x:c>
      <x:c r="D60" t="str">
        <x:v>F-D003-202509-8802</x:v>
      </x:c>
      <x:c r="E60" t="str">
        <x:v>L2509-001-0059</x:v>
      </x:c>
      <x:c r="F60" t="str">
        <x:v>D003</x:v>
      </x:c>
      <x:c r="G60" s="32" t="str">
        <x:v>FarmaLogística Sierra</x:v>
      </x:c>
      <x:c r="H60" t="str">
        <x:v>MED001</x:v>
      </x:c>
      <x:c r="I60" s="32" t="str">
        <x:v>Paracetamol 500 mg</x:v>
      </x:c>
      <x:c r="J60" s="32" t="str">
        <x:v>Analgésicos</x:v>
      </x:c>
      <x:c r="K60" s="32" t="str">
        <x:v>Genfar</x:v>
      </x:c>
      <x:c r="L60" s="32" t="str">
        <x:v>Caja x 20 tabletas</x:v>
      </x:c>
      <x:c r="M60" s="28" t="n">
        <x:v>9</x:v>
      </x:c>
      <x:c r="N60" s="28" t="n">
        <x:v>20</x:v>
      </x:c>
      <x:c r="O60" s="28" t="n">
        <x:f>M60*N60</x:f>
        <x:v>180</x:v>
      </x:c>
      <x:c r="P60" s="24" t="n">
        <x:v>0.92</x:v>
      </x:c>
      <x:c r="Q60" s="26" t="n">
        <x:v>0.03866453848338096</x:v>
      </x:c>
      <x:c r="R60" s="24" t="n">
        <x:f>O60*P60*Q60</x:f>
        <x:v>6.402847572847887</x:v>
      </x:c>
      <x:c r="S60" s="24" t="n">
        <x:f>P60*(1-Q60)</x:f>
        <x:v>0.8844286245952896</x:v>
      </x:c>
      <x:c r="T60" s="24" t="n">
        <x:f>O60*S60</x:f>
        <x:v>159.19715242715213</x:v>
      </x:c>
      <x:c r="U60" t="str">
        <x:v>CENTRO</x:v>
      </x:c>
      <x:c r="V60" t="str">
        <x:v>Farmacia Centro Histórico</x:v>
      </x:c>
      <x:c r="W60" t="str">
        <x:v>Zona Centro</x:v>
      </x:c>
      <x:c r="X60" t="str">
        <x:v>Quito</x:v>
      </x:c>
      <x:c r="Y60" s="32" t="str">
        <x:v>Guayaquil y Chile</x:v>
      </x:c>
      <x:c r="Z60" s="22" t="n">
        <x:v>45925</x:v>
      </x:c>
      <x:c r="AA60" t="str">
        <x:v>Recibido</x:v>
      </x:c>
      <x:c r="AB60" t="str">
        <x:v>Contado contra entrega</x:v>
      </x:c>
      <x:c r="AC60" s="32" t="str"/>
    </x:row>
    <x:row r="61">
      <x:c r="A61" t="n">
        <x:v>60</x:v>
      </x:c>
      <x:c r="B61" s="22" t="n">
        <x:v>46087</x:v>
      </x:c>
      <x:c r="C61" t="str">
        <x:v>OC-2026-0060</x:v>
      </x:c>
      <x:c r="D61" t="str">
        <x:v>F-D004-202603-4643</x:v>
      </x:c>
      <x:c r="E61" t="str">
        <x:v>L2603-011-0060</x:v>
      </x:c>
      <x:c r="F61" t="str">
        <x:v>D004</x:v>
      </x:c>
      <x:c r="G61" s="32" t="str">
        <x:v>Distribuidora Salud Total</x:v>
      </x:c>
      <x:c r="H61" t="str">
        <x:v>MED011</x:v>
      </x:c>
      <x:c r="I61" s="32" t="str">
        <x:v>Jarabe antigripal</x:v>
      </x:c>
      <x:c r="J61" s="32" t="str">
        <x:v>Antigripales</x:v>
      </x:c>
      <x:c r="K61" s="32" t="str">
        <x:v>MEDICAMENTA</x:v>
      </x:c>
      <x:c r="L61" s="32" t="str">
        <x:v>Frasco 120 ml</x:v>
      </x:c>
      <x:c r="M61" s="28" t="n">
        <x:v>6</x:v>
      </x:c>
      <x:c r="N61" s="28" t="n">
        <x:v>30</x:v>
      </x:c>
      <x:c r="O61" s="28" t="n">
        <x:f>M61*N61</x:f>
        <x:v>180</x:v>
      </x:c>
      <x:c r="P61" s="24" t="n">
        <x:v>2.75</x:v>
      </x:c>
      <x:c r="Q61" s="26" t="n">
        <x:v>0.09724151214021354</x:v>
      </x:c>
      <x:c r="R61" s="24" t="n">
        <x:f>O61*P61*Q61</x:f>
        <x:v>48.134548509405704</x:v>
      </x:c>
      <x:c r="S61" s="24" t="n">
        <x:f>P61*(1-Q61)</x:f>
        <x:v>2.482585841614413</x:v>
      </x:c>
      <x:c r="T61" s="24" t="n">
        <x:f>O61*S61</x:f>
        <x:v>446.86545149059435</x:v>
      </x:c>
      <x:c r="U61" t="str">
        <x:v>NORTE</x:v>
      </x:c>
      <x:c r="V61" t="str">
        <x:v>Farmacia Norte</x:v>
      </x:c>
      <x:c r="W61" t="str">
        <x:v>Zona Norte</x:v>
      </x:c>
      <x:c r="X61" t="str">
        <x:v>Quito</x:v>
      </x:c>
      <x:c r="Y61" s="32" t="str">
        <x:v>Av. 10 de Agosto N45-20</x:v>
      </x:c>
      <x:c r="Z61" s="22" t="n">
        <x:v>46091</x:v>
      </x:c>
      <x:c r="AA61" t="str">
        <x:v>Recibido</x:v>
      </x:c>
      <x:c r="AB61" t="str">
        <x:v>45 días crédito</x:v>
      </x:c>
      <x:c r="AC61" s="32" t="str"/>
    </x:row>
    <x:row r="62">
      <x:c r="A62" t="n">
        <x:v>61</x:v>
      </x:c>
      <x:c r="B62" s="22" t="n">
        <x:v>46100</x:v>
      </x:c>
      <x:c r="C62" t="str">
        <x:v>OC-2026-0061</x:v>
      </x:c>
      <x:c r="D62" t="str">
        <x:v>F-D004-202603-4010</x:v>
      </x:c>
      <x:c r="E62" t="str">
        <x:v>L2603-009-0061</x:v>
      </x:c>
      <x:c r="F62" t="str">
        <x:v>D004</x:v>
      </x:c>
      <x:c r="G62" s="32" t="str">
        <x:v>Distribuidora Salud Total</x:v>
      </x:c>
      <x:c r="H62" t="str">
        <x:v>MED009</x:v>
      </x:c>
      <x:c r="I62" s="32" t="str">
        <x:v>Losartán 50 mg</x:v>
      </x:c>
      <x:c r="J62" s="32" t="str">
        <x:v>Cardiovasculares</x:v>
      </x:c>
      <x:c r="K62" s="32" t="str">
        <x:v>Laboratorios Bagó</x:v>
      </x:c>
      <x:c r="L62" s="32" t="str">
        <x:v>Caja x 30 tabletas</x:v>
      </x:c>
      <x:c r="M62" s="28" t="n">
        <x:v>24</x:v>
      </x:c>
      <x:c r="N62" s="28" t="n">
        <x:v>20</x:v>
      </x:c>
      <x:c r="O62" s="28" t="n">
        <x:f>M62*N62</x:f>
        <x:v>480</x:v>
      </x:c>
      <x:c r="P62" s="24" t="n">
        <x:v>3.36</x:v>
      </x:c>
      <x:c r="Q62" s="26" t="n">
        <x:v>0.1364756602674271</x:v>
      </x:c>
      <x:c r="R62" s="24" t="n">
        <x:f>O62*P62*Q62</x:f>
        <x:v>220.10794487930644</x:v>
      </x:c>
      <x:c r="S62" s="24" t="n">
        <x:f>P62*(1-Q62)</x:f>
        <x:v>2.901441781501445</x:v>
      </x:c>
      <x:c r="T62" s="24" t="n">
        <x:f>O62*S62</x:f>
        <x:v>1392.6920551206936</x:v>
      </x:c>
      <x:c r="U62" t="str">
        <x:v>NORTE</x:v>
      </x:c>
      <x:c r="V62" t="str">
        <x:v>Farmacia Norte</x:v>
      </x:c>
      <x:c r="W62" t="str">
        <x:v>Zona Norte</x:v>
      </x:c>
      <x:c r="X62" t="str">
        <x:v>Quito</x:v>
      </x:c>
      <x:c r="Y62" s="32" t="str">
        <x:v>Av. 10 de Agosto N45-20</x:v>
      </x:c>
      <x:c r="Z62" s="22" t="n">
        <x:v>46103</x:v>
      </x:c>
      <x:c r="AA62" t="str">
        <x:v>Recibido</x:v>
      </x:c>
      <x:c r="AB62" t="str">
        <x:v>45 días crédito</x:v>
      </x:c>
      <x:c r="AC62" s="32" t="str">
        <x:v>Descuento por volumen</x:v>
      </x:c>
    </x:row>
    <x:row r="63">
      <x:c r="A63" t="n">
        <x:v>62</x:v>
      </x:c>
      <x:c r="B63" s="22" t="n">
        <x:v>46295</x:v>
      </x:c>
      <x:c r="C63" t="str">
        <x:v>OC-2026-0062</x:v>
      </x:c>
      <x:c r="D63" t="str">
        <x:v>F-D001-202609-1631</x:v>
      </x:c>
      <x:c r="E63" t="str">
        <x:v>L2609-007-0062</x:v>
      </x:c>
      <x:c r="F63" t="str">
        <x:v>D001</x:v>
      </x:c>
      <x:c r="G63" s="32" t="str">
        <x:v>DistriFarma Andina S.A.</x:v>
      </x:c>
      <x:c r="H63" t="str">
        <x:v>MED007</x:v>
      </x:c>
      <x:c r="I63" s="32" t="str">
        <x:v>Omeprazol 20 mg</x:v>
      </x:c>
      <x:c r="J63" s="32" t="str">
        <x:v>Gastrointestinales</x:v>
      </x:c>
      <x:c r="K63" s="32" t="str">
        <x:v>La Santé</x:v>
      </x:c>
      <x:c r="L63" s="32" t="str">
        <x:v>Caja x 30 cápsulas</x:v>
      </x:c>
      <x:c r="M63" s="28" t="n">
        <x:v>72</x:v>
      </x:c>
      <x:c r="N63" s="28" t="n">
        <x:v>10</x:v>
      </x:c>
      <x:c r="O63" s="28" t="n">
        <x:f>M63*N63</x:f>
        <x:v>720</x:v>
      </x:c>
      <x:c r="P63" s="24" t="n">
        <x:v>3.27</x:v>
      </x:c>
      <x:c r="Q63" s="26" t="n">
        <x:v>0.10446409479453078</x:v>
      </x:c>
      <x:c r="R63" s="24" t="n">
        <x:f>O63*P63*Q63</x:f>
        <x:v>245.95026478424327</x:v>
      </x:c>
      <x:c r="S63" s="24" t="n">
        <x:f>P63*(1-Q63)</x:f>
        <x:v>2.928402410021884</x:v>
      </x:c>
      <x:c r="T63" s="24" t="n">
        <x:f>O63*S63</x:f>
        <x:v>2108.4497352157564</x:v>
      </x:c>
      <x:c r="U63" t="str">
        <x:v>VALLE</x:v>
      </x:c>
      <x:c r="V63" t="str">
        <x:v>Farmacia Valle de los Chillos</x:v>
      </x:c>
      <x:c r="W63" t="str">
        <x:v>Zona Valle</x:v>
      </x:c>
      <x:c r="X63" t="str">
        <x:v>Sangolquí</x:v>
      </x:c>
      <x:c r="Y63" s="32" t="str">
        <x:v>Av. Calderón 101</x:v>
      </x:c>
      <x:c r="Z63" s="22" t="n">
        <x:v>46297</x:v>
      </x:c>
      <x:c r="AA63" t="str">
        <x:v>Recibido</x:v>
      </x:c>
      <x:c r="AB63" t="str">
        <x:v>30 días crédito</x:v>
      </x:c>
      <x:c r="AC63" s="32" t="str"/>
    </x:row>
    <x:row r="64">
      <x:c r="A64" t="n">
        <x:v>63</x:v>
      </x:c>
      <x:c r="B64" s="22" t="n">
        <x:v>45813</x:v>
      </x:c>
      <x:c r="C64" t="str">
        <x:v>OC-2025-0063</x:v>
      </x:c>
      <x:c r="D64" t="str">
        <x:v>F-D003-202506-8802</x:v>
      </x:c>
      <x:c r="E64" t="str">
        <x:v>L2506-001-0063</x:v>
      </x:c>
      <x:c r="F64" t="str">
        <x:v>D003</x:v>
      </x:c>
      <x:c r="G64" s="32" t="str">
        <x:v>FarmaLogística Sierra</x:v>
      </x:c>
      <x:c r="H64" t="str">
        <x:v>MED001</x:v>
      </x:c>
      <x:c r="I64" s="32" t="str">
        <x:v>Paracetamol 500 mg</x:v>
      </x:c>
      <x:c r="J64" s="32" t="str">
        <x:v>Analgésicos</x:v>
      </x:c>
      <x:c r="K64" s="32" t="str">
        <x:v>Genfar</x:v>
      </x:c>
      <x:c r="L64" s="32" t="str">
        <x:v>Caja x 20 tabletas</x:v>
      </x:c>
      <x:c r="M64" s="28" t="n">
        <x:v>4</x:v>
      </x:c>
      <x:c r="N64" s="28" t="n">
        <x:v>60</x:v>
      </x:c>
      <x:c r="O64" s="28" t="n">
        <x:f>M64*N64</x:f>
        <x:v>240</x:v>
      </x:c>
      <x:c r="P64" s="24" t="n">
        <x:v>0.8</x:v>
      </x:c>
      <x:c r="Q64" s="26" t="n">
        <x:v>0.05171296941227061</x:v>
      </x:c>
      <x:c r="R64" s="24" t="n">
        <x:f>O64*P64*Q64</x:f>
        <x:v>9.928890127155958</x:v>
      </x:c>
      <x:c r="S64" s="24" t="n">
        <x:f>P64*(1-Q64)</x:f>
        <x:v>0.7586296244701836</x:v>
      </x:c>
      <x:c r="T64" s="24" t="n">
        <x:f>O64*S64</x:f>
        <x:v>182.07110987284406</x:v>
      </x:c>
      <x:c r="U64" t="str">
        <x:v>SUR</x:v>
      </x:c>
      <x:c r="V64" t="str">
        <x:v>Farmacia del Sur</x:v>
      </x:c>
      <x:c r="W64" t="str">
        <x:v>Zona Sur</x:v>
      </x:c>
      <x:c r="X64" t="str">
        <x:v>Quito</x:v>
      </x:c>
      <x:c r="Y64" s="32" t="str">
        <x:v>Av. Maldonado S25-10</x:v>
      </x:c>
      <x:c r="Z64" s="22" t="n">
        <x:v>45816</x:v>
      </x:c>
      <x:c r="AA64" t="str">
        <x:v>Recibido</x:v>
      </x:c>
      <x:c r="AB64" t="str">
        <x:v>Contado contra entrega</x:v>
      </x:c>
      <x:c r="AC64" s="32" t="str">
        <x:v>Entrega coordinada fuera de horario regular</x:v>
      </x:c>
    </x:row>
    <x:row r="65">
      <x:c r="A65" t="n">
        <x:v>64</x:v>
      </x:c>
      <x:c r="B65" s="22" t="n">
        <x:v>45837</x:v>
      </x:c>
      <x:c r="C65" t="str">
        <x:v>OC-2025-0064</x:v>
      </x:c>
      <x:c r="D65" t="str">
        <x:v>F-D003-202506-3448</x:v>
      </x:c>
      <x:c r="E65" t="str">
        <x:v>L2506-001-0064</x:v>
      </x:c>
      <x:c r="F65" t="str">
        <x:v>D003</x:v>
      </x:c>
      <x:c r="G65" s="32" t="str">
        <x:v>FarmaLogística Sierra</x:v>
      </x:c>
      <x:c r="H65" t="str">
        <x:v>MED001</x:v>
      </x:c>
      <x:c r="I65" s="32" t="str">
        <x:v>Paracetamol 500 mg</x:v>
      </x:c>
      <x:c r="J65" s="32" t="str">
        <x:v>Analgésicos</x:v>
      </x:c>
      <x:c r="K65" s="32" t="str">
        <x:v>Genfar</x:v>
      </x:c>
      <x:c r="L65" s="32" t="str">
        <x:v>Caja x 20 tabletas</x:v>
      </x:c>
      <x:c r="M65" s="28" t="n">
        <x:v>12</x:v>
      </x:c>
      <x:c r="N65" s="28" t="n">
        <x:v>50</x:v>
      </x:c>
      <x:c r="O65" s="28" t="n">
        <x:f>M65*N65</x:f>
        <x:v>600</x:v>
      </x:c>
      <x:c r="P65" s="24" t="n">
        <x:v>0.84</x:v>
      </x:c>
      <x:c r="Q65" s="26" t="n">
        <x:v>0.057059836052534674</x:v>
      </x:c>
      <x:c r="R65" s="24" t="n">
        <x:f>O65*P65*Q65</x:f>
        <x:v>28.758157370477477</x:v>
      </x:c>
      <x:c r="S65" s="24" t="n">
        <x:f>P65*(1-Q65)</x:f>
        <x:v>0.7920697377158707</x:v>
      </x:c>
      <x:c r="T65" s="24" t="n">
        <x:f>O65*S65</x:f>
        <x:v>475.24184262952247</x:v>
      </x:c>
      <x:c r="U65" t="str">
        <x:v>SUR</x:v>
      </x:c>
      <x:c r="V65" t="str">
        <x:v>Farmacia del Sur</x:v>
      </x:c>
      <x:c r="W65" t="str">
        <x:v>Zona Sur</x:v>
      </x:c>
      <x:c r="X65" t="str">
        <x:v>Quito</x:v>
      </x:c>
      <x:c r="Y65" s="32" t="str">
        <x:v>Av. Maldonado S25-10</x:v>
      </x:c>
      <x:c r="Z65" s="22" t="n">
        <x:v>45838</x:v>
      </x:c>
      <x:c r="AA65" t="str">
        <x:v>Recibido</x:v>
      </x:c>
      <x:c r="AB65" t="str">
        <x:v>Contado contra entrega</x:v>
      </x:c>
      <x:c r="AC65" s="32" t="str"/>
    </x:row>
    <x:row r="66">
      <x:c r="A66" t="n">
        <x:v>65</x:v>
      </x:c>
      <x:c r="B66" s="22" t="n">
        <x:v>46363</x:v>
      </x:c>
      <x:c r="C66" t="str">
        <x:v>OC-2026-0065</x:v>
      </x:c>
      <x:c r="D66" t="str">
        <x:v>F-D008-202612-4586</x:v>
      </x:c>
      <x:c r="E66" t="str">
        <x:v>L2612-005-0065</x:v>
      </x:c>
      <x:c r="F66" t="str">
        <x:v>D008</x:v>
      </x:c>
      <x:c r="G66" s="32" t="str">
        <x:v>Mayorista MedicPlus</x:v>
      </x:c>
      <x:c r="H66" t="str">
        <x:v>MED005</x:v>
      </x:c>
      <x:c r="I66" s="32" t="str">
        <x:v>Loratadina 10 mg</x:v>
      </x:c>
      <x:c r="J66" s="32" t="str">
        <x:v>Antigripales</x:v>
      </x:c>
      <x:c r="K66" s="32" t="str">
        <x:v>Genfar</x:v>
      </x:c>
      <x:c r="L66" s="32" t="str">
        <x:v>Caja x 10 tabletas</x:v>
      </x:c>
      <x:c r="M66" s="28" t="n">
        <x:v>72</x:v>
      </x:c>
      <x:c r="N66" s="28" t="n">
        <x:v>10</x:v>
      </x:c>
      <x:c r="O66" s="28" t="n">
        <x:f>M66*N66</x:f>
        <x:v>720</x:v>
      </x:c>
      <x:c r="P66" s="24" t="n">
        <x:v>1</x:v>
      </x:c>
      <x:c r="Q66" s="26" t="n">
        <x:v>0.11753024634541935</x:v>
      </x:c>
      <x:c r="R66" s="24" t="n">
        <x:f>O66*P66*Q66</x:f>
        <x:v>84.62177736870193</x:v>
      </x:c>
      <x:c r="S66" s="24" t="n">
        <x:f>P66*(1-Q66)</x:f>
        <x:v>0.8824697536545807</x:v>
      </x:c>
      <x:c r="T66" s="24" t="n">
        <x:f>O66*S66</x:f>
        <x:v>635.3782226312981</x:v>
      </x:c>
      <x:c r="U66" t="str">
        <x:v>VALLE</x:v>
      </x:c>
      <x:c r="V66" t="str">
        <x:v>Farmacia Valle de los Chillos</x:v>
      </x:c>
      <x:c r="W66" t="str">
        <x:v>Zona Valle</x:v>
      </x:c>
      <x:c r="X66" t="str">
        <x:v>Sangolquí</x:v>
      </x:c>
      <x:c r="Y66" s="32" t="str">
        <x:v>Av. Calderón 101</x:v>
      </x:c>
      <x:c r="Z66" s="22" t="n">
        <x:v>46365</x:v>
      </x:c>
      <x:c r="AA66" t="str">
        <x:v>Recibido</x:v>
      </x:c>
      <x:c r="AB66" t="str">
        <x:v>30 días crédito</x:v>
      </x:c>
      <x:c r="AC66" s="32" t="str"/>
    </x:row>
    <x:row r="67">
      <x:c r="A67" t="n">
        <x:v>66</x:v>
      </x:c>
      <x:c r="B67" s="22" t="n">
        <x:v>46223</x:v>
      </x:c>
      <x:c r="C67" t="str">
        <x:v>OC-2026-0066</x:v>
      </x:c>
      <x:c r="D67" t="str">
        <x:v>F-D006-202607-9327</x:v>
      </x:c>
      <x:c r="E67" t="str">
        <x:v>L2607-010-0066</x:v>
      </x:c>
      <x:c r="F67" t="str">
        <x:v>D006</x:v>
      </x:c>
      <x:c r="G67" s="32" t="str">
        <x:v>Insumos Médicos del Pacífico</x:v>
      </x:c>
      <x:c r="H67" t="str">
        <x:v>MED010</x:v>
      </x:c>
      <x:c r="I67" s="32" t="str">
        <x:v>Aspirina 100 mg</x:v>
      </x:c>
      <x:c r="J67" s="32" t="str">
        <x:v>Cardiovasculares</x:v>
      </x:c>
      <x:c r="K67" s="32" t="str">
        <x:v>Bayer</x:v>
      </x:c>
      <x:c r="L67" s="32" t="str">
        <x:v>Caja x 30 tabletas</x:v>
      </x:c>
      <x:c r="M67" s="28" t="n">
        <x:v>5</x:v>
      </x:c>
      <x:c r="N67" s="28" t="n">
        <x:v>50</x:v>
      </x:c>
      <x:c r="O67" s="28" t="n">
        <x:f>M67*N67</x:f>
        <x:v>250</x:v>
      </x:c>
      <x:c r="P67" s="24" t="n">
        <x:v>1.85</x:v>
      </x:c>
      <x:c r="Q67" s="26" t="n">
        <x:v>0.10950405447658937</x:v>
      </x:c>
      <x:c r="R67" s="24" t="n">
        <x:f>O67*P67*Q67</x:f>
        <x:v>50.64562519542258</x:v>
      </x:c>
      <x:c r="S67" s="24" t="n">
        <x:f>P67*(1-Q67)</x:f>
        <x:v>1.6474174992183097</x:v>
      </x:c>
      <x:c r="T67" s="24" t="n">
        <x:f>O67*S67</x:f>
        <x:v>411.85437480457745</x:v>
      </x:c>
      <x:c r="U67" t="str">
        <x:v>SUR</x:v>
      </x:c>
      <x:c r="V67" t="str">
        <x:v>Farmacia del Sur</x:v>
      </x:c>
      <x:c r="W67" t="str">
        <x:v>Zona Sur</x:v>
      </x:c>
      <x:c r="X67" t="str">
        <x:v>Quito</x:v>
      </x:c>
      <x:c r="Y67" s="32" t="str">
        <x:v>Av. Maldonado S25-10</x:v>
      </x:c>
      <x:c r="Z67" s="22" t="n">
        <x:v>46224</x:v>
      </x:c>
      <x:c r="AA67" t="str">
        <x:v>Recibido</x:v>
      </x:c>
      <x:c r="AB67" t="str">
        <x:v>60 días crédito</x:v>
      </x:c>
      <x:c r="AC67" s="32" t="str"/>
    </x:row>
    <x:row r="68">
      <x:c r="A68" t="n">
        <x:v>67</x:v>
      </x:c>
      <x:c r="B68" s="22" t="n">
        <x:v>45748</x:v>
      </x:c>
      <x:c r="C68" t="str">
        <x:v>OC-2025-0067</x:v>
      </x:c>
      <x:c r="D68" t="str">
        <x:v>F-D002-202504-2578</x:v>
      </x:c>
      <x:c r="E68" t="str">
        <x:v>L2504-004-0067</x:v>
      </x:c>
      <x:c r="F68" t="str">
        <x:v>D002</x:v>
      </x:c>
      <x:c r="G68" s="32" t="str">
        <x:v>MedSupply Ecuador Cía. Ltda.</x:v>
      </x:c>
      <x:c r="H68" t="str">
        <x:v>MED004</x:v>
      </x:c>
      <x:c r="I68" s="32" t="str">
        <x:v>Azitromicina 500 mg</x:v>
      </x:c>
      <x:c r="J68" s="32" t="str">
        <x:v>Antibióticos</x:v>
      </x:c>
      <x:c r="K68" s="32" t="str">
        <x:v>Pfizer</x:v>
      </x:c>
      <x:c r="L68" s="32" t="str">
        <x:v>Caja x 3 tabletas</x:v>
      </x:c>
      <x:c r="M68" s="28" t="n">
        <x:v>30</x:v>
      </x:c>
      <x:c r="N68" s="28" t="n">
        <x:v>20</x:v>
      </x:c>
      <x:c r="O68" s="28" t="n">
        <x:f>M68*N68</x:f>
        <x:v>600</x:v>
      </x:c>
      <x:c r="P68" s="24" t="n">
        <x:v>4.66</x:v>
      </x:c>
      <x:c r="Q68" s="26" t="n">
        <x:v>0.07249159878368217</x:v>
      </x:c>
      <x:c r="R68" s="24" t="n">
        <x:f>O68*P68*Q68</x:f>
        <x:v>202.68651019917533</x:v>
      </x:c>
      <x:c r="S68" s="24" t="n">
        <x:f>P68*(1-Q68)</x:f>
        <x:v>4.322189149668041</x:v>
      </x:c>
      <x:c r="T68" s="24" t="n">
        <x:f>O68*S68</x:f>
        <x:v>2593.3134898008248</x:v>
      </x:c>
      <x:c r="U68" t="str">
        <x:v>CENTRO</x:v>
      </x:c>
      <x:c r="V68" t="str">
        <x:v>Farmacia Centro Histórico</x:v>
      </x:c>
      <x:c r="W68" t="str">
        <x:v>Zona Centro</x:v>
      </x:c>
      <x:c r="X68" t="str">
        <x:v>Quito</x:v>
      </x:c>
      <x:c r="Y68" s="32" t="str">
        <x:v>Guayaquil y Chile</x:v>
      </x:c>
      <x:c r="Z68" s="22" t="n">
        <x:v>45752</x:v>
      </x:c>
      <x:c r="AA68" t="str">
        <x:v>Recibido</x:v>
      </x:c>
      <x:c r="AB68" t="str">
        <x:v>15 días crédito</x:v>
      </x:c>
      <x:c r="AC68" s="32" t="str">
        <x:v>Entrega coordinada fuera de horario regular</x:v>
      </x:c>
    </x:row>
    <x:row r="69">
      <x:c r="A69" t="n">
        <x:v>68</x:v>
      </x:c>
      <x:c r="B69" s="22" t="n">
        <x:v>45893</x:v>
      </x:c>
      <x:c r="C69" t="str">
        <x:v>OC-2025-0068</x:v>
      </x:c>
      <x:c r="D69" t="str">
        <x:v>F-D007-202508-5224</x:v>
      </x:c>
      <x:c r="E69" t="str">
        <x:v>L2508-011-0068</x:v>
      </x:c>
      <x:c r="F69" t="str">
        <x:v>D007</x:v>
      </x:c>
      <x:c r="G69" s="32" t="str">
        <x:v>Comercializadora BioFarma</x:v>
      </x:c>
      <x:c r="H69" t="str">
        <x:v>MED011</x:v>
      </x:c>
      <x:c r="I69" s="32" t="str">
        <x:v>Jarabe antigripal</x:v>
      </x:c>
      <x:c r="J69" s="32" t="str">
        <x:v>Antigripales</x:v>
      </x:c>
      <x:c r="K69" s="32" t="str">
        <x:v>MEDICAMENTA</x:v>
      </x:c>
      <x:c r="L69" s="32" t="str">
        <x:v>Frasco 120 ml</x:v>
      </x:c>
      <x:c r="M69" s="28" t="n">
        <x:v>4</x:v>
      </x:c>
      <x:c r="N69" s="28" t="n">
        <x:v>24</x:v>
      </x:c>
      <x:c r="O69" s="28" t="n">
        <x:f>M69*N69</x:f>
        <x:v>96</x:v>
      </x:c>
      <x:c r="P69" s="24" t="n">
        <x:v>2.8</x:v>
      </x:c>
      <x:c r="Q69" s="26" t="n">
        <x:v>0.04714127349938986</x:v>
      </x:c>
      <x:c r="R69" s="24" t="n">
        <x:f>O69*P69*Q69</x:f>
        <x:v>12.671574316635992</x:v>
      </x:c>
      <x:c r="S69" s="24" t="n">
        <x:f>P69*(1-Q69)</x:f>
        <x:v>2.668004434201708</x:v>
      </x:c>
      <x:c r="T69" s="24" t="n">
        <x:f>O69*S69</x:f>
        <x:v>256.12842568336396</x:v>
      </x:c>
      <x:c r="U69" t="str">
        <x:v>NORTE</x:v>
      </x:c>
      <x:c r="V69" t="str">
        <x:v>Farmacia Norte</x:v>
      </x:c>
      <x:c r="W69" t="str">
        <x:v>Zona Norte</x:v>
      </x:c>
      <x:c r="X69" t="str">
        <x:v>Quito</x:v>
      </x:c>
      <x:c r="Y69" s="32" t="str">
        <x:v>Av. 10 de Agosto N45-20</x:v>
      </x:c>
      <x:c r="Z69" s="22" t="n">
        <x:v>45895</x:v>
      </x:c>
      <x:c r="AA69" t="str">
        <x:v>Recibido</x:v>
      </x:c>
      <x:c r="AB69" t="str">
        <x:v>15 días crédito</x:v>
      </x:c>
      <x:c r="AC69" s="32" t="str"/>
    </x:row>
    <x:row r="70">
      <x:c r="A70" t="n">
        <x:v>69</x:v>
      </x:c>
      <x:c r="B70" s="22" t="n">
        <x:v>45895</x:v>
      </x:c>
      <x:c r="C70" t="str">
        <x:v>OC-2025-0069</x:v>
      </x:c>
      <x:c r="D70" t="str">
        <x:v>F-D008-202508-5123</x:v>
      </x:c>
      <x:c r="E70" t="str">
        <x:v>L2508-001-0069</x:v>
      </x:c>
      <x:c r="F70" t="str">
        <x:v>D008</x:v>
      </x:c>
      <x:c r="G70" s="32" t="str">
        <x:v>Mayorista MedicPlus</x:v>
      </x:c>
      <x:c r="H70" t="str">
        <x:v>MED001</x:v>
      </x:c>
      <x:c r="I70" s="32" t="str">
        <x:v>Paracetamol 500 mg</x:v>
      </x:c>
      <x:c r="J70" s="32" t="str">
        <x:v>Analgésicos</x:v>
      </x:c>
      <x:c r="K70" s="32" t="str">
        <x:v>Genfar</x:v>
      </x:c>
      <x:c r="L70" s="32" t="str">
        <x:v>Caja x 20 tabletas</x:v>
      </x:c>
      <x:c r="M70" s="28" t="n">
        <x:v>2</x:v>
      </x:c>
      <x:c r="N70" s="28" t="n">
        <x:v>60</x:v>
      </x:c>
      <x:c r="O70" s="28" t="n">
        <x:f>M70*N70</x:f>
        <x:v>120</x:v>
      </x:c>
      <x:c r="P70" s="24" t="n">
        <x:v>0.8</x:v>
      </x:c>
      <x:c r="Q70" s="26" t="n">
        <x:v>0.12288947087999554</x:v>
      </x:c>
      <x:c r="R70" s="24" t="n">
        <x:f>O70*P70*Q70</x:f>
        <x:v>11.797389204479572</x:v>
      </x:c>
      <x:c r="S70" s="24" t="n">
        <x:f>P70*(1-Q70)</x:f>
        <x:v>0.7016884232960036</x:v>
      </x:c>
      <x:c r="T70" s="24" t="n">
        <x:f>O70*S70</x:f>
        <x:v>84.20261079552043</x:v>
      </x:c>
      <x:c r="U70" t="str">
        <x:v>CENTRO</x:v>
      </x:c>
      <x:c r="V70" t="str">
        <x:v>Farmacia Centro Histórico</x:v>
      </x:c>
      <x:c r="W70" t="str">
        <x:v>Zona Centro</x:v>
      </x:c>
      <x:c r="X70" t="str">
        <x:v>Quito</x:v>
      </x:c>
      <x:c r="Y70" s="32" t="str">
        <x:v>Guayaquil y Chile</x:v>
      </x:c>
      <x:c r="Z70" s="22" t="n">
        <x:v>45897</x:v>
      </x:c>
      <x:c r="AA70" t="str">
        <x:v>Recibido</x:v>
      </x:c>
      <x:c r="AB70" t="str">
        <x:v>30 días crédito</x:v>
      </x:c>
      <x:c r="AC70" s="32" t="str"/>
    </x:row>
    <x:row r="71">
      <x:c r="A71" t="n">
        <x:v>70</x:v>
      </x:c>
      <x:c r="B71" s="22" t="n">
        <x:v>46271</x:v>
      </x:c>
      <x:c r="C71" t="str">
        <x:v>OC-2026-0070</x:v>
      </x:c>
      <x:c r="D71" t="str">
        <x:v>F-D001-202609-9213</x:v>
      </x:c>
      <x:c r="E71" t="str">
        <x:v>L2609-002-0070</x:v>
      </x:c>
      <x:c r="F71" t="str">
        <x:v>D001</x:v>
      </x:c>
      <x:c r="G71" s="32" t="str">
        <x:v>DistriFarma Andina S.A.</x:v>
      </x:c>
      <x:c r="H71" t="str">
        <x:v>MED002</x:v>
      </x:c>
      <x:c r="I71" s="32" t="str">
        <x:v>Ibuprofeno 400 mg</x:v>
      </x:c>
      <x:c r="J71" s="32" t="str">
        <x:v>Analgésicos</x:v>
      </x:c>
      <x:c r="K71" s="32" t="str">
        <x:v>La Santé</x:v>
      </x:c>
      <x:c r="L71" s="32" t="str">
        <x:v>Caja x 20 tabletas</x:v>
      </x:c>
      <x:c r="M71" s="28" t="n">
        <x:v>2</x:v>
      </x:c>
      <x:c r="N71" s="28" t="n">
        <x:v>60</x:v>
      </x:c>
      <x:c r="O71" s="28" t="n">
        <x:f>M71*N71</x:f>
        <x:v>120</x:v>
      </x:c>
      <x:c r="P71" s="24" t="n">
        <x:v>1.32</x:v>
      </x:c>
      <x:c r="Q71" s="26" t="n">
        <x:v>0.0792188071628001</x:v>
      </x:c>
      <x:c r="R71" s="24" t="n">
        <x:f>O71*P71*Q71</x:f>
        <x:v>12.548259054587536</x:v>
      </x:c>
      <x:c r="S71" s="24" t="n">
        <x:f>P71*(1-Q71)</x:f>
        <x:v>1.215431174545104</x:v>
      </x:c>
      <x:c r="T71" s="24" t="n">
        <x:f>O71*S71</x:f>
        <x:v>145.8517409454125</x:v>
      </x:c>
      <x:c r="U71" t="str">
        <x:v>CENTRO</x:v>
      </x:c>
      <x:c r="V71" t="str">
        <x:v>Farmacia Centro Histórico</x:v>
      </x:c>
      <x:c r="W71" t="str">
        <x:v>Zona Centro</x:v>
      </x:c>
      <x:c r="X71" t="str">
        <x:v>Quito</x:v>
      </x:c>
      <x:c r="Y71" s="32" t="str">
        <x:v>Guayaquil y Chile</x:v>
      </x:c>
      <x:c r="Z71" s="22" t="n">
        <x:v>46275</x:v>
      </x:c>
      <x:c r="AA71" t="str">
        <x:v>Recibido</x:v>
      </x:c>
      <x:c r="AB71" t="str">
        <x:v>30 días crédito</x:v>
      </x:c>
      <x:c r="AC71" s="32" t="str"/>
    </x:row>
    <x:row r="72">
      <x:c r="A72" t="n">
        <x:v>71</x:v>
      </x:c>
      <x:c r="B72" s="22" t="n">
        <x:v>45831</x:v>
      </x:c>
      <x:c r="C72" t="str">
        <x:v>OC-2025-0071</x:v>
      </x:c>
      <x:c r="D72" t="str">
        <x:v>F-D005-202506-9128</x:v>
      </x:c>
      <x:c r="E72" t="str">
        <x:v>L2506-012-0071</x:v>
      </x:c>
      <x:c r="F72" t="str">
        <x:v>D005</x:v>
      </x:c>
      <x:c r="G72" s="32" t="str">
        <x:v>PharmaExpress Quito</x:v>
      </x:c>
      <x:c r="H72" t="str">
        <x:v>MED012</x:v>
      </x:c>
      <x:c r="I72" s="32" t="str">
        <x:v>Multivitamínico adulto</x:v>
      </x:c>
      <x:c r="J72" s="32" t="str">
        <x:v>Vitaminas</x:v>
      </x:c>
      <x:c r="K72" s="32" t="str">
        <x:v>Novartis</x:v>
      </x:c>
      <x:c r="L72" s="32" t="str">
        <x:v>Frasco x 30 tabletas</x:v>
      </x:c>
      <x:c r="M72" s="28" t="n">
        <x:v>9</x:v>
      </x:c>
      <x:c r="N72" s="28" t="n">
        <x:v>24</x:v>
      </x:c>
      <x:c r="O72" s="28" t="n">
        <x:f>M72*N72</x:f>
        <x:v>216</x:v>
      </x:c>
      <x:c r="P72" s="24" t="n">
        <x:v>3.7</x:v>
      </x:c>
      <x:c r="Q72" s="26" t="n">
        <x:v>0.10027372360404864</x:v>
      </x:c>
      <x:c r="R72" s="24" t="n">
        <x:f>O72*P72*Q72</x:f>
        <x:v>80.13875990435568</x:v>
      </x:c>
      <x:c r="S72" s="24" t="n">
        <x:f>P72*(1-Q72)</x:f>
        <x:v>3.3289872226650203</x:v>
      </x:c>
      <x:c r="T72" s="24" t="n">
        <x:f>O72*S72</x:f>
        <x:v>719.0612400956444</x:v>
      </x:c>
      <x:c r="U72" t="str">
        <x:v>VALLE</x:v>
      </x:c>
      <x:c r="V72" t="str">
        <x:v>Farmacia Valle de los Chillos</x:v>
      </x:c>
      <x:c r="W72" t="str">
        <x:v>Zona Valle</x:v>
      </x:c>
      <x:c r="X72" t="str">
        <x:v>Sangolquí</x:v>
      </x:c>
      <x:c r="Y72" s="32" t="str">
        <x:v>Av. Calderón 101</x:v>
      </x:c>
      <x:c r="Z72" s="22" t="n">
        <x:v>45836</x:v>
      </x:c>
      <x:c r="AA72" t="str">
        <x:v>Recibido</x:v>
      </x:c>
      <x:c r="AB72" t="str">
        <x:v>30 días crédito</x:v>
      </x:c>
      <x:c r="AC72" s="32" t="str">
        <x:v>Entrega coordinada fuera de horario regular</x:v>
      </x:c>
    </x:row>
    <x:row r="73">
      <x:c r="A73" t="n">
        <x:v>72</x:v>
      </x:c>
      <x:c r="B73" s="22" t="n">
        <x:v>46239</x:v>
      </x:c>
      <x:c r="C73" t="str">
        <x:v>OC-2026-0072</x:v>
      </x:c>
      <x:c r="D73" t="str">
        <x:v>F-D006-202608-7328</x:v>
      </x:c>
      <x:c r="E73" t="str">
        <x:v>L2608-008-0072</x:v>
      </x:c>
      <x:c r="F73" t="str">
        <x:v>D006</x:v>
      </x:c>
      <x:c r="G73" s="32" t="str">
        <x:v>Insumos Médicos del Pacífico</x:v>
      </x:c>
      <x:c r="H73" t="str">
        <x:v>MED008</x:v>
      </x:c>
      <x:c r="I73" s="32" t="str">
        <x:v>Diclofenaco gel</x:v>
      </x:c>
      <x:c r="J73" s="32" t="str">
        <x:v>Dermatológicos</x:v>
      </x:c>
      <x:c r="K73" s="32" t="str">
        <x:v>Bayer</x:v>
      </x:c>
      <x:c r="L73" s="32" t="str">
        <x:v>Tubo 50 g</x:v>
      </x:c>
      <x:c r="M73" s="28" t="n">
        <x:v>3</x:v>
      </x:c>
      <x:c r="N73" s="28" t="n">
        <x:v>24</x:v>
      </x:c>
      <x:c r="O73" s="28" t="n">
        <x:f>M73*N73</x:f>
        <x:v>72</x:v>
      </x:c>
      <x:c r="P73" s="24" t="n">
        <x:v>2.2</x:v>
      </x:c>
      <x:c r="Q73" s="26" t="n">
        <x:v>0.13947333558472633</x:v>
      </x:c>
      <x:c r="R73" s="24" t="n">
        <x:f>O73*P73*Q73</x:f>
        <x:v>22.09257635662065</x:v>
      </x:c>
      <x:c r="S73" s="24" t="n">
        <x:f>P73*(1-Q73)</x:f>
        <x:v>1.8931586617136023</x:v>
      </x:c>
      <x:c r="T73" s="24" t="n">
        <x:f>O73*S73</x:f>
        <x:v>136.30742364337937</x:v>
      </x:c>
      <x:c r="U73" t="str">
        <x:v>CENTRO</x:v>
      </x:c>
      <x:c r="V73" t="str">
        <x:v>Farmacia Centro Histórico</x:v>
      </x:c>
      <x:c r="W73" t="str">
        <x:v>Zona Centro</x:v>
      </x:c>
      <x:c r="X73" t="str">
        <x:v>Quito</x:v>
      </x:c>
      <x:c r="Y73" s="32" t="str">
        <x:v>Guayaquil y Chile</x:v>
      </x:c>
      <x:c r="Z73" s="22" t="n">
        <x:v>46240</x:v>
      </x:c>
      <x:c r="AA73" t="str">
        <x:v>Recibido</x:v>
      </x:c>
      <x:c r="AB73" t="str">
        <x:v>60 días crédito</x:v>
      </x:c>
      <x:c r="AC73" s="32" t="str">
        <x:v>Descuento por volumen</x:v>
      </x:c>
    </x:row>
    <x:row r="74">
      <x:c r="A74" t="n">
        <x:v>73</x:v>
      </x:c>
      <x:c r="B74" s="22" t="n">
        <x:v>46215</x:v>
      </x:c>
      <x:c r="C74" t="str">
        <x:v>OC-2026-0073</x:v>
      </x:c>
      <x:c r="D74" t="str">
        <x:v>F-D002-202607-3551</x:v>
      </x:c>
      <x:c r="E74" t="str">
        <x:v>L2607-008-0073</x:v>
      </x:c>
      <x:c r="F74" t="str">
        <x:v>D002</x:v>
      </x:c>
      <x:c r="G74" s="32" t="str">
        <x:v>MedSupply Ecuador Cía. Ltda.</x:v>
      </x:c>
      <x:c r="H74" t="str">
        <x:v>MED008</x:v>
      </x:c>
      <x:c r="I74" s="32" t="str">
        <x:v>Diclofenaco gel</x:v>
      </x:c>
      <x:c r="J74" s="32" t="str">
        <x:v>Dermatológicos</x:v>
      </x:c>
      <x:c r="K74" s="32" t="str">
        <x:v>Bayer</x:v>
      </x:c>
      <x:c r="L74" s="32" t="str">
        <x:v>Tubo 50 g</x:v>
      </x:c>
      <x:c r="M74" s="28" t="n">
        <x:v>5</x:v>
      </x:c>
      <x:c r="N74" s="28" t="n">
        <x:v>24</x:v>
      </x:c>
      <x:c r="O74" s="28" t="n">
        <x:f>M74*N74</x:f>
        <x:v>120</x:v>
      </x:c>
      <x:c r="P74" s="24" t="n">
        <x:v>1.99</x:v>
      </x:c>
      <x:c r="Q74" s="26" t="n">
        <x:v>0.06323226320592598</x:v>
      </x:c>
      <x:c r="R74" s="24" t="n">
        <x:f>O74*P74*Q74</x:f>
        <x:v>15.099864453575124</x:v>
      </x:c>
      <x:c r="S74" s="24" t="n">
        <x:f>P74*(1-Q74)</x:f>
        <x:v>1.8641677962202072</x:v>
      </x:c>
      <x:c r="T74" s="24" t="n">
        <x:f>O74*S74</x:f>
        <x:v>223.70013554642486</x:v>
      </x:c>
      <x:c r="U74" t="str">
        <x:v>NORTE</x:v>
      </x:c>
      <x:c r="V74" t="str">
        <x:v>Farmacia Norte</x:v>
      </x:c>
      <x:c r="W74" t="str">
        <x:v>Zona Norte</x:v>
      </x:c>
      <x:c r="X74" t="str">
        <x:v>Quito</x:v>
      </x:c>
      <x:c r="Y74" s="32" t="str">
        <x:v>Av. 10 de Agosto N45-20</x:v>
      </x:c>
      <x:c r="Z74" s="22" t="n">
        <x:v>46219</x:v>
      </x:c>
      <x:c r="AA74" t="str">
        <x:v>Recibido</x:v>
      </x:c>
      <x:c r="AB74" t="str">
        <x:v>15 días crédito</x:v>
      </x:c>
      <x:c r="AC74" s="32" t="str"/>
    </x:row>
    <x:row r="75">
      <x:c r="A75" t="n">
        <x:v>74</x:v>
      </x:c>
      <x:c r="B75" s="22" t="n">
        <x:v>46055</x:v>
      </x:c>
      <x:c r="C75" t="str">
        <x:v>OC-2026-0074</x:v>
      </x:c>
      <x:c r="D75" t="str">
        <x:v>F-D007-202602-3727</x:v>
      </x:c>
      <x:c r="E75" t="str">
        <x:v>L2602-014-0074</x:v>
      </x:c>
      <x:c r="F75" t="str">
        <x:v>D007</x:v>
      </x:c>
      <x:c r="G75" s="32" t="str">
        <x:v>Comercializadora BioFarma</x:v>
      </x:c>
      <x:c r="H75" t="str">
        <x:v>MED014</x:v>
      </x:c>
      <x:c r="I75" s="32" t="str">
        <x:v>Crema antimicótica</x:v>
      </x:c>
      <x:c r="J75" s="32" t="str">
        <x:v>Dermatológicos</x:v>
      </x:c>
      <x:c r="K75" s="32" t="str">
        <x:v>Acromax</x:v>
      </x:c>
      <x:c r="L75" s="32" t="str">
        <x:v>Tubo 30 g</x:v>
      </x:c>
      <x:c r="M75" s="28" t="n">
        <x:v>10</x:v>
      </x:c>
      <x:c r="N75" s="28" t="n">
        <x:v>30</x:v>
      </x:c>
      <x:c r="O75" s="28" t="n">
        <x:f>M75*N75</x:f>
        <x:v>300</x:v>
      </x:c>
      <x:c r="P75" s="24" t="n">
        <x:v>2.54</x:v>
      </x:c>
      <x:c r="Q75" s="26" t="n">
        <x:v>0.06074854096900248</x:v>
      </x:c>
      <x:c r="R75" s="24" t="n">
        <x:f>O75*P75*Q75</x:f>
        <x:v>46.29038821837989</x:v>
      </x:c>
      <x:c r="S75" s="24" t="n">
        <x:f>P75*(1-Q75)</x:f>
        <x:v>2.385698705938734</x:v>
      </x:c>
      <x:c r="T75" s="24" t="n">
        <x:f>O75*S75</x:f>
        <x:v>715.7096117816201</x:v>
      </x:c>
      <x:c r="U75" t="str">
        <x:v>NORTE</x:v>
      </x:c>
      <x:c r="V75" t="str">
        <x:v>Farmacia Norte</x:v>
      </x:c>
      <x:c r="W75" t="str">
        <x:v>Zona Norte</x:v>
      </x:c>
      <x:c r="X75" t="str">
        <x:v>Quito</x:v>
      </x:c>
      <x:c r="Y75" s="32" t="str">
        <x:v>Av. 10 de Agosto N45-20</x:v>
      </x:c>
      <x:c r="Z75" s="22" t="n">
        <x:v>46060</x:v>
      </x:c>
      <x:c r="AA75" t="str">
        <x:v>Recibido</x:v>
      </x:c>
      <x:c r="AB75" t="str">
        <x:v>15 días crédito</x:v>
      </x:c>
      <x:c r="AC75" s="32" t="str">
        <x:v>Entrega coordinada fuera de horario regular</x:v>
      </x:c>
    </x:row>
    <x:row r="76">
      <x:c r="A76" t="n">
        <x:v>75</x:v>
      </x:c>
      <x:c r="B76" s="22" t="n">
        <x:v>45852</x:v>
      </x:c>
      <x:c r="C76" t="str">
        <x:v>OC-2025-0075</x:v>
      </x:c>
      <x:c r="D76" t="str">
        <x:v>F-D003-202507-3616</x:v>
      </x:c>
      <x:c r="E76" t="str">
        <x:v>L2507-005-0075</x:v>
      </x:c>
      <x:c r="F76" t="str">
        <x:v>D003</x:v>
      </x:c>
      <x:c r="G76" s="32" t="str">
        <x:v>FarmaLogística Sierra</x:v>
      </x:c>
      <x:c r="H76" t="str">
        <x:v>MED005</x:v>
      </x:c>
      <x:c r="I76" s="32" t="str">
        <x:v>Loratadina 10 mg</x:v>
      </x:c>
      <x:c r="J76" s="32" t="str">
        <x:v>Antigripales</x:v>
      </x:c>
      <x:c r="K76" s="32" t="str">
        <x:v>Genfar</x:v>
      </x:c>
      <x:c r="L76" s="32" t="str">
        <x:v>Caja x 10 tabletas</x:v>
      </x:c>
      <x:c r="M76" s="28" t="n">
        <x:v>18</x:v>
      </x:c>
      <x:c r="N76" s="28" t="n">
        <x:v>10</x:v>
      </x:c>
      <x:c r="O76" s="28" t="n">
        <x:f>M76*N76</x:f>
        <x:v>180</x:v>
      </x:c>
      <x:c r="P76" s="24" t="n">
        <x:v>0.96</x:v>
      </x:c>
      <x:c r="Q76" s="26" t="n">
        <x:v>0.04025267647334897</x:v>
      </x:c>
      <x:c r="R76" s="24" t="n">
        <x:f>O76*P76*Q76</x:f>
        <x:v>6.955662494594701</x:v>
      </x:c>
      <x:c r="S76" s="24" t="n">
        <x:f>P76*(1-Q76)</x:f>
        <x:v>0.921357430585585</x:v>
      </x:c>
      <x:c r="T76" s="24" t="n">
        <x:f>O76*S76</x:f>
        <x:v>165.8443375054053</x:v>
      </x:c>
      <x:c r="U76" t="str">
        <x:v>SUR</x:v>
      </x:c>
      <x:c r="V76" t="str">
        <x:v>Farmacia del Sur</x:v>
      </x:c>
      <x:c r="W76" t="str">
        <x:v>Zona Sur</x:v>
      </x:c>
      <x:c r="X76" t="str">
        <x:v>Quito</x:v>
      </x:c>
      <x:c r="Y76" s="32" t="str">
        <x:v>Av. Maldonado S25-10</x:v>
      </x:c>
      <x:c r="Z76" s="22" t="n">
        <x:v>45855</x:v>
      </x:c>
      <x:c r="AA76" t="str">
        <x:v>Recibido</x:v>
      </x:c>
      <x:c r="AB76" t="str">
        <x:v>Contado contra entrega</x:v>
      </x:c>
      <x:c r="AC76" s="32" t="str"/>
    </x:row>
    <x:row r="77">
      <x:c r="A77" t="n">
        <x:v>76</x:v>
      </x:c>
      <x:c r="B77" s="22" t="n">
        <x:v>46042</x:v>
      </x:c>
      <x:c r="C77" t="str">
        <x:v>OC-2026-0076</x:v>
      </x:c>
      <x:c r="D77" t="str">
        <x:v>F-D004-202601-8571</x:v>
      </x:c>
      <x:c r="E77" t="str">
        <x:v>L2601-015-0076</x:v>
      </x:c>
      <x:c r="F77" t="str">
        <x:v>D004</x:v>
      </x:c>
      <x:c r="G77" s="32" t="str">
        <x:v>Distribuidora Salud Total</x:v>
      </x:c>
      <x:c r="H77" t="str">
        <x:v>MED015</x:v>
      </x:c>
      <x:c r="I77" s="32" t="str">
        <x:v>Producto descontinuado</x:v>
      </x:c>
      <x:c r="J77" s="32" t="str">
        <x:v>Vitaminas</x:v>
      </x:c>
      <x:c r="K77" s="32" t="str">
        <x:v>MEDICAMENTA</x:v>
      </x:c>
      <x:c r="L77" s="32" t="str">
        <x:v>Caja x 20</x:v>
      </x:c>
      <x:c r="M77" s="28" t="n">
        <x:v>2</x:v>
      </x:c>
      <x:c r="N77" s="28" t="n">
        <x:v>30</x:v>
      </x:c>
      <x:c r="O77" s="28" t="n">
        <x:f>M77*N77</x:f>
        <x:v>60</x:v>
      </x:c>
      <x:c r="P77" s="24" t="n">
        <x:v>6.76</x:v>
      </x:c>
      <x:c r="Q77" s="26" t="n">
        <x:v>0.13775226074284663</x:v>
      </x:c>
      <x:c r="R77" s="24" t="n">
        <x:f>O77*P77*Q77</x:f>
        <x:v>55.87231695729859</x:v>
      </x:c>
      <x:c r="S77" s="24" t="n">
        <x:f>P77*(1-Q77)</x:f>
        <x:v>5.828794717378357</x:v>
      </x:c>
      <x:c r="T77" s="24" t="n">
        <x:f>O77*S77</x:f>
        <x:v>349.7276830427014</x:v>
      </x:c>
      <x:c r="U77" t="str">
        <x:v>SUR</x:v>
      </x:c>
      <x:c r="V77" t="str">
        <x:v>Farmacia del Sur</x:v>
      </x:c>
      <x:c r="W77" t="str">
        <x:v>Zona Sur</x:v>
      </x:c>
      <x:c r="X77" t="str">
        <x:v>Quito</x:v>
      </x:c>
      <x:c r="Y77" s="32" t="str">
        <x:v>Av. Maldonado S25-10</x:v>
      </x:c>
      <x:c r="Z77" s="22" t="n">
        <x:v>46046</x:v>
      </x:c>
      <x:c r="AA77" t="str">
        <x:v>Recibido</x:v>
      </x:c>
      <x:c r="AB77" t="str">
        <x:v>45 días crédito</x:v>
      </x:c>
      <x:c r="AC77" s="32" t="str">
        <x:v>Compra controlada: producto descontinuado</x:v>
      </x:c>
    </x:row>
    <x:row r="78">
      <x:c r="A78" t="n">
        <x:v>77</x:v>
      </x:c>
      <x:c r="B78" s="22" t="n">
        <x:v>45812</x:v>
      </x:c>
      <x:c r="C78" t="str">
        <x:v>OC-2025-0077</x:v>
      </x:c>
      <x:c r="D78" t="str">
        <x:v>F-D008-202506-3055</x:v>
      </x:c>
      <x:c r="E78" t="str">
        <x:v>L2506-004-0077</x:v>
      </x:c>
      <x:c r="F78" t="str">
        <x:v>D008</x:v>
      </x:c>
      <x:c r="G78" s="32" t="str">
        <x:v>Mayorista MedicPlus</x:v>
      </x:c>
      <x:c r="H78" t="str">
        <x:v>MED004</x:v>
      </x:c>
      <x:c r="I78" s="32" t="str">
        <x:v>Azitromicina 500 mg</x:v>
      </x:c>
      <x:c r="J78" s="32" t="str">
        <x:v>Antibióticos</x:v>
      </x:c>
      <x:c r="K78" s="32" t="str">
        <x:v>Pfizer</x:v>
      </x:c>
      <x:c r="L78" s="32" t="str">
        <x:v>Caja x 3 tabletas</x:v>
      </x:c>
      <x:c r="M78" s="28" t="n">
        <x:v>15</x:v>
      </x:c>
      <x:c r="N78" s="28" t="n">
        <x:v>20</x:v>
      </x:c>
      <x:c r="O78" s="28" t="n">
        <x:f>M78*N78</x:f>
        <x:v>300</x:v>
      </x:c>
      <x:c r="P78" s="24" t="n">
        <x:v>5.32</x:v>
      </x:c>
      <x:c r="Q78" s="26" t="n">
        <x:v>0.10907116424025871</x:v>
      </x:c>
      <x:c r="R78" s="24" t="n">
        <x:f>O78*P78*Q78</x:f>
        <x:v>174.0775781274529</x:v>
      </x:c>
      <x:c r="S78" s="24" t="n">
        <x:f>P78*(1-Q78)</x:f>
        <x:v>4.739741406241824</x:v>
      </x:c>
      <x:c r="T78" s="24" t="n">
        <x:f>O78*S78</x:f>
        <x:v>1421.9224218725471</x:v>
      </x:c>
      <x:c r="U78" t="str">
        <x:v>NORTE</x:v>
      </x:c>
      <x:c r="V78" t="str">
        <x:v>Farmacia Norte</x:v>
      </x:c>
      <x:c r="W78" t="str">
        <x:v>Zona Norte</x:v>
      </x:c>
      <x:c r="X78" t="str">
        <x:v>Quito</x:v>
      </x:c>
      <x:c r="Y78" s="32" t="str">
        <x:v>Av. 10 de Agosto N45-20</x:v>
      </x:c>
      <x:c r="Z78" s="22" t="n">
        <x:v>45817</x:v>
      </x:c>
      <x:c r="AA78" t="str">
        <x:v>Recibido</x:v>
      </x:c>
      <x:c r="AB78" t="str">
        <x:v>30 días crédito</x:v>
      </x:c>
      <x:c r="AC78" s="32" t="str"/>
    </x:row>
    <x:row r="79">
      <x:c r="A79" t="n">
        <x:v>78</x:v>
      </x:c>
      <x:c r="B79" s="22" t="n">
        <x:v>46246</x:v>
      </x:c>
      <x:c r="C79" t="str">
        <x:v>OC-2026-0078</x:v>
      </x:c>
      <x:c r="D79" t="str">
        <x:v>F-D003-202608-4851</x:v>
      </x:c>
      <x:c r="E79" t="str">
        <x:v>L2608-002-0078</x:v>
      </x:c>
      <x:c r="F79" t="str">
        <x:v>D003</x:v>
      </x:c>
      <x:c r="G79" s="32" t="str">
        <x:v>FarmaLogística Sierra</x:v>
      </x:c>
      <x:c r="H79" t="str">
        <x:v>MED002</x:v>
      </x:c>
      <x:c r="I79" s="32" t="str">
        <x:v>Ibuprofeno 400 mg</x:v>
      </x:c>
      <x:c r="J79" s="32" t="str">
        <x:v>Analgésicos</x:v>
      </x:c>
      <x:c r="K79" s="32" t="str">
        <x:v>La Santé</x:v>
      </x:c>
      <x:c r="L79" s="32" t="str">
        <x:v>Caja x 20 tabletas</x:v>
      </x:c>
      <x:c r="M79" s="28" t="n">
        <x:v>5</x:v>
      </x:c>
      <x:c r="N79" s="28" t="n">
        <x:v>24</x:v>
      </x:c>
      <x:c r="O79" s="28" t="n">
        <x:f>M79*N79</x:f>
        <x:v>120</x:v>
      </x:c>
      <x:c r="P79" s="24" t="n">
        <x:v>1.2</x:v>
      </x:c>
      <x:c r="Q79" s="26" t="n">
        <x:v>0.06269064124818619</x:v>
      </x:c>
      <x:c r="R79" s="24" t="n">
        <x:f>O79*P79*Q79</x:f>
        <x:v>9.027452339738812</x:v>
      </x:c>
      <x:c r="S79" s="24" t="n">
        <x:f>P79*(1-Q79)</x:f>
        <x:v>1.1247712305021764</x:v>
      </x:c>
      <x:c r="T79" s="24" t="n">
        <x:f>O79*S79</x:f>
        <x:v>134.97254766026117</x:v>
      </x:c>
      <x:c r="U79" t="str">
        <x:v>VALLE</x:v>
      </x:c>
      <x:c r="V79" t="str">
        <x:v>Farmacia Valle de los Chillos</x:v>
      </x:c>
      <x:c r="W79" t="str">
        <x:v>Zona Valle</x:v>
      </x:c>
      <x:c r="X79" t="str">
        <x:v>Sangolquí</x:v>
      </x:c>
      <x:c r="Y79" s="32" t="str">
        <x:v>Av. Calderón 101</x:v>
      </x:c>
      <x:c r="Z79" s="22" t="n">
        <x:v>46248</x:v>
      </x:c>
      <x:c r="AA79" t="str">
        <x:v>Recibido</x:v>
      </x:c>
      <x:c r="AB79" t="str">
        <x:v>Contado contra entrega</x:v>
      </x:c>
      <x:c r="AC79" s="32" t="str"/>
    </x:row>
    <x:row r="80">
      <x:c r="A80" t="n">
        <x:v>79</x:v>
      </x:c>
      <x:c r="B80" s="22" t="n">
        <x:v>45763</x:v>
      </x:c>
      <x:c r="C80" t="str">
        <x:v>OC-2025-0079</x:v>
      </x:c>
      <x:c r="D80" t="str">
        <x:v>F-D003-202504-3854</x:v>
      </x:c>
      <x:c r="E80" t="str">
        <x:v>L2504-001-0079</x:v>
      </x:c>
      <x:c r="F80" t="str">
        <x:v>D003</x:v>
      </x:c>
      <x:c r="G80" s="32" t="str">
        <x:v>FarmaLogística Sierra</x:v>
      </x:c>
      <x:c r="H80" t="str">
        <x:v>MED001</x:v>
      </x:c>
      <x:c r="I80" s="32" t="str">
        <x:v>Paracetamol 500 mg</x:v>
      </x:c>
      <x:c r="J80" s="32" t="str">
        <x:v>Analgésicos</x:v>
      </x:c>
      <x:c r="K80" s="32" t="str">
        <x:v>Genfar</x:v>
      </x:c>
      <x:c r="L80" s="32" t="str">
        <x:v>Caja x 20 tabletas</x:v>
      </x:c>
      <x:c r="M80" s="28" t="n">
        <x:v>6</x:v>
      </x:c>
      <x:c r="N80" s="28" t="n">
        <x:v>30</x:v>
      </x:c>
      <x:c r="O80" s="28" t="n">
        <x:f>M80*N80</x:f>
        <x:v>180</x:v>
      </x:c>
      <x:c r="P80" s="24" t="n">
        <x:v>0.86</x:v>
      </x:c>
      <x:c r="Q80" s="26" t="n">
        <x:v>0.0481343310673537</x:v>
      </x:c>
      <x:c r="R80" s="24" t="n">
        <x:f>O80*P80*Q80</x:f>
        <x:v>7.451194449226353</x:v>
      </x:c>
      <x:c r="S80" s="24" t="n">
        <x:f>P80*(1-Q80)</x:f>
        <x:v>0.8186044752820758</x:v>
      </x:c>
      <x:c r="T80" s="24" t="n">
        <x:f>O80*S80</x:f>
        <x:v>147.34880555077365</x:v>
      </x:c>
      <x:c r="U80" t="str">
        <x:v>VALLE</x:v>
      </x:c>
      <x:c r="V80" t="str">
        <x:v>Farmacia Valle de los Chillos</x:v>
      </x:c>
      <x:c r="W80" t="str">
        <x:v>Zona Valle</x:v>
      </x:c>
      <x:c r="X80" t="str">
        <x:v>Sangolquí</x:v>
      </x:c>
      <x:c r="Y80" s="32" t="str">
        <x:v>Av. Calderón 101</x:v>
      </x:c>
      <x:c r="Z80" s="22" t="n">
        <x:v>45765</x:v>
      </x:c>
      <x:c r="AA80" t="str">
        <x:v>Recibido</x:v>
      </x:c>
      <x:c r="AB80" t="str">
        <x:v>Contado contra entrega</x:v>
      </x:c>
      <x:c r="AC80" s="32" t="str"/>
    </x:row>
    <x:row r="81">
      <x:c r="A81" t="n">
        <x:v>80</x:v>
      </x:c>
      <x:c r="B81" s="22" t="n">
        <x:v>45762</x:v>
      </x:c>
      <x:c r="C81" t="str">
        <x:v>OC-2025-0080</x:v>
      </x:c>
      <x:c r="D81" t="str">
        <x:v>F-D005-202504-3484</x:v>
      </x:c>
      <x:c r="E81" t="str">
        <x:v>L2504-008-0080</x:v>
      </x:c>
      <x:c r="F81" t="str">
        <x:v>D005</x:v>
      </x:c>
      <x:c r="G81" s="32" t="str">
        <x:v>PharmaExpress Quito</x:v>
      </x:c>
      <x:c r="H81" t="str">
        <x:v>MED008</x:v>
      </x:c>
      <x:c r="I81" s="32" t="str">
        <x:v>Diclofenaco gel</x:v>
      </x:c>
      <x:c r="J81" s="32" t="str">
        <x:v>Dermatológicos</x:v>
      </x:c>
      <x:c r="K81" s="32" t="str">
        <x:v>Bayer</x:v>
      </x:c>
      <x:c r="L81" s="32" t="str">
        <x:v>Tubo 50 g</x:v>
      </x:c>
      <x:c r="M81" s="28" t="n">
        <x:v>18</x:v>
      </x:c>
      <x:c r="N81" s="28" t="n">
        <x:v>10</x:v>
      </x:c>
      <x:c r="O81" s="28" t="n">
        <x:f>M81*N81</x:f>
        <x:v>180</x:v>
      </x:c>
      <x:c r="P81" s="24" t="n">
        <x:v>1.93</x:v>
      </x:c>
      <x:c r="Q81" s="26" t="n">
        <x:v>0.0508061239864489</x:v>
      </x:c>
      <x:c r="R81" s="24" t="n">
        <x:f>O81*P81*Q81</x:f>
        <x:v>17.650047472892346</x:v>
      </x:c>
      <x:c r="S81" s="24" t="n">
        <x:f>P81*(1-Q81)</x:f>
        <x:v>1.8319441807061536</x:v>
      </x:c>
      <x:c r="T81" s="24" t="n">
        <x:f>O81*S81</x:f>
        <x:v>329.74995252710767</x:v>
      </x:c>
      <x:c r="U81" t="str">
        <x:v>NORTE</x:v>
      </x:c>
      <x:c r="V81" t="str">
        <x:v>Farmacia Norte</x:v>
      </x:c>
      <x:c r="W81" t="str">
        <x:v>Zona Norte</x:v>
      </x:c>
      <x:c r="X81" t="str">
        <x:v>Quito</x:v>
      </x:c>
      <x:c r="Y81" s="32" t="str">
        <x:v>Av. 10 de Agosto N45-20</x:v>
      </x:c>
      <x:c r="Z81" s="22" t="n">
        <x:v>45766</x:v>
      </x:c>
      <x:c r="AA81" t="str">
        <x:v>Recibido</x:v>
      </x:c>
      <x:c r="AB81" t="str">
        <x:v>30 días crédito</x:v>
      </x:c>
      <x:c r="AC81" s="32" t="str">
        <x:v>Entrega coordinada fuera de horario regular</x:v>
      </x:c>
    </x:row>
    <x:row r="82">
      <x:c r="A82" t="n">
        <x:v>81</x:v>
      </x:c>
      <x:c r="B82" s="22" t="n">
        <x:v>46270</x:v>
      </x:c>
      <x:c r="C82" t="str">
        <x:v>OC-2026-0081</x:v>
      </x:c>
      <x:c r="D82" t="str">
        <x:v>F-D003-202609-8567</x:v>
      </x:c>
      <x:c r="E82" t="str">
        <x:v>L2609-014-0081</x:v>
      </x:c>
      <x:c r="F82" t="str">
        <x:v>D003</x:v>
      </x:c>
      <x:c r="G82" s="32" t="str">
        <x:v>FarmaLogística Sierra</x:v>
      </x:c>
      <x:c r="H82" t="str">
        <x:v>MED014</x:v>
      </x:c>
      <x:c r="I82" s="32" t="str">
        <x:v>Crema antimicótica</x:v>
      </x:c>
      <x:c r="J82" s="32" t="str">
        <x:v>Dermatológicos</x:v>
      </x:c>
      <x:c r="K82" s="32" t="str">
        <x:v>Acromax</x:v>
      </x:c>
      <x:c r="L82" s="32" t="str">
        <x:v>Tubo 30 g</x:v>
      </x:c>
      <x:c r="M82" s="28" t="n">
        <x:v>12</x:v>
      </x:c>
      <x:c r="N82" s="28" t="n">
        <x:v>10</x:v>
      </x:c>
      <x:c r="O82" s="28" t="n">
        <x:f>M82*N82</x:f>
        <x:v>120</x:v>
      </x:c>
      <x:c r="P82" s="24" t="n">
        <x:v>2.2</x:v>
      </x:c>
      <x:c r="Q82" s="26" t="n">
        <x:v>0.05014287278566987</x:v>
      </x:c>
      <x:c r="R82" s="24" t="n">
        <x:f>O82*P82*Q82</x:f>
        <x:v>13.237718415416845</x:v>
      </x:c>
      <x:c r="S82" s="24" t="n">
        <x:f>P82*(1-Q82)</x:f>
        <x:v>2.0896856798715264</x:v>
      </x:c>
      <x:c r="T82" s="24" t="n">
        <x:f>O82*S82</x:f>
        <x:v>250.76228158458318</x:v>
      </x:c>
      <x:c r="U82" t="str">
        <x:v>NORTE</x:v>
      </x:c>
      <x:c r="V82" t="str">
        <x:v>Farmacia Norte</x:v>
      </x:c>
      <x:c r="W82" t="str">
        <x:v>Zona Norte</x:v>
      </x:c>
      <x:c r="X82" t="str">
        <x:v>Quito</x:v>
      </x:c>
      <x:c r="Y82" s="32" t="str">
        <x:v>Av. 10 de Agosto N45-20</x:v>
      </x:c>
      <x:c r="Z82" s="22" t="n">
        <x:v>46272</x:v>
      </x:c>
      <x:c r="AA82" t="str">
        <x:v>Recibido</x:v>
      </x:c>
      <x:c r="AB82" t="str">
        <x:v>Contado contra entrega</x:v>
      </x:c>
      <x:c r="AC82" s="32" t="str"/>
    </x:row>
    <x:row r="83">
      <x:c r="A83" t="n">
        <x:v>82</x:v>
      </x:c>
      <x:c r="B83" s="22" t="n">
        <x:v>45968</x:v>
      </x:c>
      <x:c r="C83" t="str">
        <x:v>OC-2025-0082</x:v>
      </x:c>
      <x:c r="D83" t="str">
        <x:v>F-D005-202511-8484</x:v>
      </x:c>
      <x:c r="E83" t="str">
        <x:v>L2511-006-0082</x:v>
      </x:c>
      <x:c r="F83" t="str">
        <x:v>D005</x:v>
      </x:c>
      <x:c r="G83" s="32" t="str">
        <x:v>PharmaExpress Quito</x:v>
      </x:c>
      <x:c r="H83" t="str">
        <x:v>MED006</x:v>
      </x:c>
      <x:c r="I83" s="32" t="str">
        <x:v>Vitamina C 1 g</x:v>
      </x:c>
      <x:c r="J83" s="32" t="str">
        <x:v>Vitaminas</x:v>
      </x:c>
      <x:c r="K83" s="32" t="str">
        <x:v>Novartis</x:v>
      </x:c>
      <x:c r="L83" s="32" t="str">
        <x:v>Tubo x 10 efervescentes</x:v>
      </x:c>
      <x:c r="M83" s="28" t="n">
        <x:v>2</x:v>
      </x:c>
      <x:c r="N83" s="28" t="n">
        <x:v>60</x:v>
      </x:c>
      <x:c r="O83" s="28" t="n">
        <x:f>M83*N83</x:f>
        <x:v>120</x:v>
      </x:c>
      <x:c r="P83" s="24" t="n">
        <x:v>2.55</x:v>
      </x:c>
      <x:c r="Q83" s="26" t="n">
        <x:v>0.0535452539626649</x:v>
      </x:c>
      <x:c r="R83" s="24" t="n">
        <x:f>O83*P83*Q83</x:f>
        <x:v>16.38484771257546</x:v>
      </x:c>
      <x:c r="S83" s="24" t="n">
        <x:f>P83*(1-Q83)</x:f>
        <x:v>2.4134596023952044</x:v>
      </x:c>
      <x:c r="T83" s="24" t="n">
        <x:f>O83*S83</x:f>
        <x:v>289.6151522874245</x:v>
      </x:c>
      <x:c r="U83" t="str">
        <x:v>SUR</x:v>
      </x:c>
      <x:c r="V83" t="str">
        <x:v>Farmacia del Sur</x:v>
      </x:c>
      <x:c r="W83" t="str">
        <x:v>Zona Sur</x:v>
      </x:c>
      <x:c r="X83" t="str">
        <x:v>Quito</x:v>
      </x:c>
      <x:c r="Y83" s="32" t="str">
        <x:v>Av. Maldonado S25-10</x:v>
      </x:c>
      <x:c r="Z83" s="22" t="n">
        <x:v>45971</x:v>
      </x:c>
      <x:c r="AA83" t="str">
        <x:v>Recibido</x:v>
      </x:c>
      <x:c r="AB83" t="str">
        <x:v>30 días crédito</x:v>
      </x:c>
      <x:c r="AC83" s="32" t="str"/>
    </x:row>
    <x:row r="84">
      <x:c r="A84" t="n">
        <x:v>83</x:v>
      </x:c>
      <x:c r="B84" s="22" t="n">
        <x:v>46167</x:v>
      </x:c>
      <x:c r="C84" t="str">
        <x:v>OC-2026-0083</x:v>
      </x:c>
      <x:c r="D84" t="str">
        <x:v>F-D003-202605-3742</x:v>
      </x:c>
      <x:c r="E84" t="str">
        <x:v>L2605-002-0083</x:v>
      </x:c>
      <x:c r="F84" t="str">
        <x:v>D003</x:v>
      </x:c>
      <x:c r="G84" s="32" t="str">
        <x:v>FarmaLogística Sierra</x:v>
      </x:c>
      <x:c r="H84" t="str">
        <x:v>MED002</x:v>
      </x:c>
      <x:c r="I84" s="32" t="str">
        <x:v>Ibuprofeno 400 mg</x:v>
      </x:c>
      <x:c r="J84" s="32" t="str">
        <x:v>Analgésicos</x:v>
      </x:c>
      <x:c r="K84" s="32" t="str">
        <x:v>La Santé</x:v>
      </x:c>
      <x:c r="L84" s="32" t="str">
        <x:v>Caja x 20 tabletas</x:v>
      </x:c>
      <x:c r="M84" s="28" t="n">
        <x:v>5</x:v>
      </x:c>
      <x:c r="N84" s="28" t="n">
        <x:v>30</x:v>
      </x:c>
      <x:c r="O84" s="28" t="n">
        <x:f>M84*N84</x:f>
        <x:v>150</x:v>
      </x:c>
      <x:c r="P84" s="24" t="n">
        <x:v>1.36</x:v>
      </x:c>
      <x:c r="Q84" s="26" t="n">
        <x:v>0.06251286749173797</x:v>
      </x:c>
      <x:c r="R84" s="24" t="n">
        <x:f>O84*P84*Q84</x:f>
        <x:v>12.752624968314548</x:v>
      </x:c>
      <x:c r="S84" s="24" t="n">
        <x:f>P84*(1-Q84)</x:f>
        <x:v>1.2749825002112365</x:v>
      </x:c>
      <x:c r="T84" s="24" t="n">
        <x:f>O84*S84</x:f>
        <x:v>191.24737503168546</x:v>
      </x:c>
      <x:c r="U84" t="str">
        <x:v>SUR</x:v>
      </x:c>
      <x:c r="V84" t="str">
        <x:v>Farmacia del Sur</x:v>
      </x:c>
      <x:c r="W84" t="str">
        <x:v>Zona Sur</x:v>
      </x:c>
      <x:c r="X84" t="str">
        <x:v>Quito</x:v>
      </x:c>
      <x:c r="Y84" s="32" t="str">
        <x:v>Av. Maldonado S25-10</x:v>
      </x:c>
      <x:c r="Z84" s="22" t="n">
        <x:v>46169</x:v>
      </x:c>
      <x:c r="AA84" t="str">
        <x:v>Recibido</x:v>
      </x:c>
      <x:c r="AB84" t="str">
        <x:v>Contado contra entrega</x:v>
      </x:c>
      <x:c r="AC84" s="32" t="str"/>
    </x:row>
    <x:row r="85">
      <x:c r="A85" t="n">
        <x:v>84</x:v>
      </x:c>
      <x:c r="B85" s="22" t="n">
        <x:v>45962</x:v>
      </x:c>
      <x:c r="C85" t="str">
        <x:v>OC-2025-0084</x:v>
      </x:c>
      <x:c r="D85" t="str">
        <x:v>F-D003-202511-3470</x:v>
      </x:c>
      <x:c r="E85" t="str">
        <x:v>L2511-001-0084</x:v>
      </x:c>
      <x:c r="F85" t="str">
        <x:v>D003</x:v>
      </x:c>
      <x:c r="G85" s="32" t="str">
        <x:v>FarmaLogística Sierra</x:v>
      </x:c>
      <x:c r="H85" t="str">
        <x:v>MED001</x:v>
      </x:c>
      <x:c r="I85" s="32" t="str">
        <x:v>Paracetamol 500 mg</x:v>
      </x:c>
      <x:c r="J85" s="32" t="str">
        <x:v>Analgésicos</x:v>
      </x:c>
      <x:c r="K85" s="32" t="str">
        <x:v>Genfar</x:v>
      </x:c>
      <x:c r="L85" s="32" t="str">
        <x:v>Caja x 20 tabletas</x:v>
      </x:c>
      <x:c r="M85" s="28" t="n">
        <x:v>24</x:v>
      </x:c>
      <x:c r="N85" s="28" t="n">
        <x:v>20</x:v>
      </x:c>
      <x:c r="O85" s="28" t="n">
        <x:f>M85*N85</x:f>
        <x:v>480</x:v>
      </x:c>
      <x:c r="P85" s="24" t="n">
        <x:v>0.79</x:v>
      </x:c>
      <x:c r="Q85" s="26" t="n">
        <x:v>0.07795326705513579</x:v>
      </x:c>
      <x:c r="R85" s="24" t="n">
        <x:f>O85*P85*Q85</x:f>
        <x:v>29.559878867307496</x:v>
      </x:c>
      <x:c r="S85" s="24" t="n">
        <x:f>P85*(1-Q85)</x:f>
        <x:v>0.7284169190264427</x:v>
      </x:c>
      <x:c r="T85" s="24" t="n">
        <x:f>O85*S85</x:f>
        <x:v>349.64012113269246</x:v>
      </x:c>
      <x:c r="U85" t="str">
        <x:v>NORTE</x:v>
      </x:c>
      <x:c r="V85" t="str">
        <x:v>Farmacia Norte</x:v>
      </x:c>
      <x:c r="W85" t="str">
        <x:v>Zona Norte</x:v>
      </x:c>
      <x:c r="X85" t="str">
        <x:v>Quito</x:v>
      </x:c>
      <x:c r="Y85" s="32" t="str">
        <x:v>Av. 10 de Agosto N45-20</x:v>
      </x:c>
      <x:c r="Z85" s="22" t="n">
        <x:v>45964</x:v>
      </x:c>
      <x:c r="AA85" t="str">
        <x:v>Recibido</x:v>
      </x:c>
      <x:c r="AB85" t="str">
        <x:v>Contado contra entrega</x:v>
      </x:c>
      <x:c r="AC85" s="32" t="str"/>
    </x:row>
    <x:row r="86">
      <x:c r="A86" t="n">
        <x:v>85</x:v>
      </x:c>
      <x:c r="B86" s="22" t="n">
        <x:v>45718</x:v>
      </x:c>
      <x:c r="C86" t="str">
        <x:v>OC-2025-0085</x:v>
      </x:c>
      <x:c r="D86" t="str">
        <x:v>F-D006-202503-6788</x:v>
      </x:c>
      <x:c r="E86" t="str">
        <x:v>L2503-010-0085</x:v>
      </x:c>
      <x:c r="F86" t="str">
        <x:v>D006</x:v>
      </x:c>
      <x:c r="G86" s="32" t="str">
        <x:v>Insumos Médicos del Pacífico</x:v>
      </x:c>
      <x:c r="H86" t="str">
        <x:v>MED010</x:v>
      </x:c>
      <x:c r="I86" s="32" t="str">
        <x:v>Aspirina 100 mg</x:v>
      </x:c>
      <x:c r="J86" s="32" t="str">
        <x:v>Cardiovasculares</x:v>
      </x:c>
      <x:c r="K86" s="32" t="str">
        <x:v>Bayer</x:v>
      </x:c>
      <x:c r="L86" s="32" t="str">
        <x:v>Caja x 30 tabletas</x:v>
      </x:c>
      <x:c r="M86" s="28" t="n">
        <x:v>8</x:v>
      </x:c>
      <x:c r="N86" s="28" t="n">
        <x:v>30</x:v>
      </x:c>
      <x:c r="O86" s="28" t="n">
        <x:f>M86*N86</x:f>
        <x:v>240</x:v>
      </x:c>
      <x:c r="P86" s="24" t="n">
        <x:v>1.58</x:v>
      </x:c>
      <x:c r="Q86" s="26" t="n">
        <x:v>0.12768784690376356</x:v>
      </x:c>
      <x:c r="R86" s="24" t="n">
        <x:f>O86*P86*Q86</x:f>
        <x:v>48.419231545907145</x:v>
      </x:c>
      <x:c r="S86" s="24" t="n">
        <x:f>P86*(1-Q86)</x:f>
        <x:v>1.3782532018920537</x:v>
      </x:c>
      <x:c r="T86" s="24" t="n">
        <x:f>O86*S86</x:f>
        <x:v>330.7807684540929</x:v>
      </x:c>
      <x:c r="U86" t="str">
        <x:v>SUR</x:v>
      </x:c>
      <x:c r="V86" t="str">
        <x:v>Farmacia del Sur</x:v>
      </x:c>
      <x:c r="W86" t="str">
        <x:v>Zona Sur</x:v>
      </x:c>
      <x:c r="X86" t="str">
        <x:v>Quito</x:v>
      </x:c>
      <x:c r="Y86" s="32" t="str">
        <x:v>Av. Maldonado S25-10</x:v>
      </x:c>
      <x:c r="Z86" s="22" t="n">
        <x:v>45722</x:v>
      </x:c>
      <x:c r="AA86" t="str">
        <x:v>Recibido</x:v>
      </x:c>
      <x:c r="AB86" t="str">
        <x:v>60 días crédito</x:v>
      </x:c>
      <x:c r="AC86" s="32" t="str"/>
    </x:row>
    <x:row r="87">
      <x:c r="A87" t="n">
        <x:v>86</x:v>
      </x:c>
      <x:c r="B87" s="22" t="n">
        <x:v>45771</x:v>
      </x:c>
      <x:c r="C87" t="str">
        <x:v>OC-2025-0086</x:v>
      </x:c>
      <x:c r="D87" t="str">
        <x:v>F-D007-202504-5934</x:v>
      </x:c>
      <x:c r="E87" t="str">
        <x:v>L2504-006-0086</x:v>
      </x:c>
      <x:c r="F87" t="str">
        <x:v>D007</x:v>
      </x:c>
      <x:c r="G87" s="32" t="str">
        <x:v>Comercializadora BioFarma</x:v>
      </x:c>
      <x:c r="H87" t="str">
        <x:v>MED006</x:v>
      </x:c>
      <x:c r="I87" s="32" t="str">
        <x:v>Vitamina C 1 g</x:v>
      </x:c>
      <x:c r="J87" s="32" t="str">
        <x:v>Vitaminas</x:v>
      </x:c>
      <x:c r="K87" s="32" t="str">
        <x:v>Novartis</x:v>
      </x:c>
      <x:c r="L87" s="32" t="str">
        <x:v>Tubo x 10 efervescentes</x:v>
      </x:c>
      <x:c r="M87" s="28" t="n">
        <x:v>8</x:v>
      </x:c>
      <x:c r="N87" s="28" t="n">
        <x:v>20</x:v>
      </x:c>
      <x:c r="O87" s="28" t="n">
        <x:f>M87*N87</x:f>
        <x:v>160</x:v>
      </x:c>
      <x:c r="P87" s="24" t="n">
        <x:v>2.27</x:v>
      </x:c>
      <x:c r="Q87" s="26" t="n">
        <x:v>0.029144433441088084</x:v>
      </x:c>
      <x:c r="R87" s="24" t="n">
        <x:f>O87*P87*Q87</x:f>
        <x:v>10.58525822580319</x:v>
      </x:c>
      <x:c r="S87" s="24" t="n">
        <x:f>P87*(1-Q87)</x:f>
        <x:v>2.20384213608873</x:v>
      </x:c>
      <x:c r="T87" s="24" t="n">
        <x:f>O87*S87</x:f>
        <x:v>352.6147417741968</x:v>
      </x:c>
      <x:c r="U87" t="str">
        <x:v>NORTE</x:v>
      </x:c>
      <x:c r="V87" t="str">
        <x:v>Farmacia Norte</x:v>
      </x:c>
      <x:c r="W87" t="str">
        <x:v>Zona Norte</x:v>
      </x:c>
      <x:c r="X87" t="str">
        <x:v>Quito</x:v>
      </x:c>
      <x:c r="Y87" s="32" t="str">
        <x:v>Av. 10 de Agosto N45-20</x:v>
      </x:c>
      <x:c r="Z87" s="22" t="n">
        <x:v>45772</x:v>
      </x:c>
      <x:c r="AA87" t="str">
        <x:v>Recibido</x:v>
      </x:c>
      <x:c r="AB87" t="str">
        <x:v>15 días crédito</x:v>
      </x:c>
      <x:c r="AC87" s="32" t="str"/>
    </x:row>
    <x:row r="88">
      <x:c r="A88" t="n">
        <x:v>87</x:v>
      </x:c>
      <x:c r="B88" s="22" t="n">
        <x:v>45670</x:v>
      </x:c>
      <x:c r="C88" t="str">
        <x:v>OC-2025-0087</x:v>
      </x:c>
      <x:c r="D88" t="str">
        <x:v>F-D003-202501-7449</x:v>
      </x:c>
      <x:c r="E88" t="str">
        <x:v>L2501-002-0087</x:v>
      </x:c>
      <x:c r="F88" t="str">
        <x:v>D003</x:v>
      </x:c>
      <x:c r="G88" s="32" t="str">
        <x:v>FarmaLogística Sierra</x:v>
      </x:c>
      <x:c r="H88" t="str">
        <x:v>MED002</x:v>
      </x:c>
      <x:c r="I88" s="32" t="str">
        <x:v>Ibuprofeno 400 mg</x:v>
      </x:c>
      <x:c r="J88" s="32" t="str">
        <x:v>Analgésicos</x:v>
      </x:c>
      <x:c r="K88" s="32" t="str">
        <x:v>La Santé</x:v>
      </x:c>
      <x:c r="L88" s="32" t="str">
        <x:v>Caja x 20 tabletas</x:v>
      </x:c>
      <x:c r="M88" s="28" t="n">
        <x:v>13</x:v>
      </x:c>
      <x:c r="N88" s="28" t="n">
        <x:v>24</x:v>
      </x:c>
      <x:c r="O88" s="28" t="n">
        <x:f>M88*N88</x:f>
        <x:v>312</x:v>
      </x:c>
      <x:c r="P88" s="24" t="n">
        <x:v>1.23</x:v>
      </x:c>
      <x:c r="Q88" s="26" t="n">
        <x:v>0.06626964476787266</x:v>
      </x:c>
      <x:c r="R88" s="24" t="n">
        <x:f>O88*P88*Q88</x:f>
        <x:v>25.43163887611881</x:v>
      </x:c>
      <x:c r="S88" s="24" t="n">
        <x:f>P88*(1-Q88)</x:f>
        <x:v>1.1484883369355166</x:v>
      </x:c>
      <x:c r="T88" s="24" t="n">
        <x:f>O88*S88</x:f>
        <x:v>358.32836112388117</x:v>
      </x:c>
      <x:c r="U88" t="str">
        <x:v>NORTE</x:v>
      </x:c>
      <x:c r="V88" t="str">
        <x:v>Farmacia Norte</x:v>
      </x:c>
      <x:c r="W88" t="str">
        <x:v>Zona Norte</x:v>
      </x:c>
      <x:c r="X88" t="str">
        <x:v>Quito</x:v>
      </x:c>
      <x:c r="Y88" s="32" t="str">
        <x:v>Av. 10 de Agosto N45-20</x:v>
      </x:c>
      <x:c r="Z88" s="22" t="n">
        <x:v>45675</x:v>
      </x:c>
      <x:c r="AA88" t="str">
        <x:v>Recibido</x:v>
      </x:c>
      <x:c r="AB88" t="str">
        <x:v>Contado contra entrega</x:v>
      </x:c>
      <x:c r="AC88" s="32" t="str">
        <x:v>Entrega coordinada fuera de horario regular</x:v>
      </x:c>
    </x:row>
    <x:row r="89">
      <x:c r="A89" t="n">
        <x:v>88</x:v>
      </x:c>
      <x:c r="B89" s="22" t="n">
        <x:v>45826</x:v>
      </x:c>
      <x:c r="C89" t="str">
        <x:v>OC-2025-0088</x:v>
      </x:c>
      <x:c r="D89" t="str">
        <x:v>F-D007-202506-1409</x:v>
      </x:c>
      <x:c r="E89" t="str">
        <x:v>L2506-006-0088</x:v>
      </x:c>
      <x:c r="F89" t="str">
        <x:v>D007</x:v>
      </x:c>
      <x:c r="G89" s="32" t="str">
        <x:v>Comercializadora BioFarma</x:v>
      </x:c>
      <x:c r="H89" t="str">
        <x:v>MED006</x:v>
      </x:c>
      <x:c r="I89" s="32" t="str">
        <x:v>Vitamina C 1 g</x:v>
      </x:c>
      <x:c r="J89" s="32" t="str">
        <x:v>Vitaminas</x:v>
      </x:c>
      <x:c r="K89" s="32" t="str">
        <x:v>Novartis</x:v>
      </x:c>
      <x:c r="L89" s="32" t="str">
        <x:v>Tubo x 10 efervescentes</x:v>
      </x:c>
      <x:c r="M89" s="28" t="n">
        <x:v>12</x:v>
      </x:c>
      <x:c r="N89" s="28" t="n">
        <x:v>50</x:v>
      </x:c>
      <x:c r="O89" s="28" t="n">
        <x:f>M89*N89</x:f>
        <x:v>600</x:v>
      </x:c>
      <x:c r="P89" s="24" t="n">
        <x:v>2.23</x:v>
      </x:c>
      <x:c r="Q89" s="26" t="n">
        <x:v>0.04630011144089584</x:v>
      </x:c>
      <x:c r="R89" s="24" t="n">
        <x:f>O89*P89*Q89</x:f>
        <x:v>61.949549107918635</x:v>
      </x:c>
      <x:c r="S89" s="24" t="n">
        <x:f>P89*(1-Q89)</x:f>
        <x:v>2.126750751486802</x:v>
      </x:c>
      <x:c r="T89" s="24" t="n">
        <x:f>O89*S89</x:f>
        <x:v>1276.0504508920812</x:v>
      </x:c>
      <x:c r="U89" t="str">
        <x:v>VALLE</x:v>
      </x:c>
      <x:c r="V89" t="str">
        <x:v>Farmacia Valle de los Chillos</x:v>
      </x:c>
      <x:c r="W89" t="str">
        <x:v>Zona Valle</x:v>
      </x:c>
      <x:c r="X89" t="str">
        <x:v>Sangolquí</x:v>
      </x:c>
      <x:c r="Y89" s="32" t="str">
        <x:v>Av. Calderón 101</x:v>
      </x:c>
      <x:c r="Z89" s="22" t="n">
        <x:v>45831</x:v>
      </x:c>
      <x:c r="AA89" t="str">
        <x:v>Recibido</x:v>
      </x:c>
      <x:c r="AB89" t="str">
        <x:v>15 días crédito</x:v>
      </x:c>
      <x:c r="AC89" s="32" t="str"/>
    </x:row>
    <x:row r="90">
      <x:c r="A90" t="n">
        <x:v>89</x:v>
      </x:c>
      <x:c r="B90" s="22" t="n">
        <x:v>45861</x:v>
      </x:c>
      <x:c r="C90" t="str">
        <x:v>OC-2025-0089</x:v>
      </x:c>
      <x:c r="D90" t="str">
        <x:v>F-D005-202507-3486</x:v>
      </x:c>
      <x:c r="E90" t="str">
        <x:v>L2507-006-0089</x:v>
      </x:c>
      <x:c r="F90" t="str">
        <x:v>D005</x:v>
      </x:c>
      <x:c r="G90" s="32" t="str">
        <x:v>PharmaExpress Quito</x:v>
      </x:c>
      <x:c r="H90" t="str">
        <x:v>MED006</x:v>
      </x:c>
      <x:c r="I90" s="32" t="str">
        <x:v>Vitamina C 1 g</x:v>
      </x:c>
      <x:c r="J90" s="32" t="str">
        <x:v>Vitaminas</x:v>
      </x:c>
      <x:c r="K90" s="32" t="str">
        <x:v>Novartis</x:v>
      </x:c>
      <x:c r="L90" s="32" t="str">
        <x:v>Tubo x 10 efervescentes</x:v>
      </x:c>
      <x:c r="M90" s="28" t="n">
        <x:v>3</x:v>
      </x:c>
      <x:c r="N90" s="28" t="n">
        <x:v>30</x:v>
      </x:c>
      <x:c r="O90" s="28" t="n">
        <x:f>M90*N90</x:f>
        <x:v>90</x:v>
      </x:c>
      <x:c r="P90" s="24" t="n">
        <x:v>2.27</x:v>
      </x:c>
      <x:c r="Q90" s="26" t="n">
        <x:v>0.08874930928861217</x:v>
      </x:c>
      <x:c r="R90" s="24" t="n">
        <x:f>O90*P90*Q90</x:f>
        <x:v>18.131483887663467</x:v>
      </x:c>
      <x:c r="S90" s="24" t="n">
        <x:f>P90*(1-Q90)</x:f>
        <x:v>2.0685390679148505</x:v>
      </x:c>
      <x:c r="T90" s="24" t="n">
        <x:f>O90*S90</x:f>
        <x:v>186.16851611233656</x:v>
      </x:c>
      <x:c r="U90" t="str">
        <x:v>NORTE</x:v>
      </x:c>
      <x:c r="V90" t="str">
        <x:v>Farmacia Norte</x:v>
      </x:c>
      <x:c r="W90" t="str">
        <x:v>Zona Norte</x:v>
      </x:c>
      <x:c r="X90" t="str">
        <x:v>Quito</x:v>
      </x:c>
      <x:c r="Y90" s="32" t="str">
        <x:v>Av. 10 de Agosto N45-20</x:v>
      </x:c>
      <x:c r="Z90" s="22" t="n">
        <x:v>45866</x:v>
      </x:c>
      <x:c r="AA90" t="str">
        <x:v>Recibido</x:v>
      </x:c>
      <x:c r="AB90" t="str">
        <x:v>30 días crédito</x:v>
      </x:c>
      <x:c r="AC90" s="32" t="str"/>
    </x:row>
    <x:row r="91">
      <x:c r="A91" t="n">
        <x:v>90</x:v>
      </x:c>
      <x:c r="B91" s="22" t="n">
        <x:v>46028</x:v>
      </x:c>
      <x:c r="C91" t="str">
        <x:v>OC-2026-0090</x:v>
      </x:c>
      <x:c r="D91" t="str">
        <x:v>F-D006-202601-5661</x:v>
      </x:c>
      <x:c r="E91" t="str">
        <x:v>L2601-009-0090</x:v>
      </x:c>
      <x:c r="F91" t="str">
        <x:v>D006</x:v>
      </x:c>
      <x:c r="G91" s="32" t="str">
        <x:v>Insumos Médicos del Pacífico</x:v>
      </x:c>
      <x:c r="H91" t="str">
        <x:v>MED009</x:v>
      </x:c>
      <x:c r="I91" s="32" t="str">
        <x:v>Losartán 50 mg</x:v>
      </x:c>
      <x:c r="J91" s="32" t="str">
        <x:v>Cardiovasculares</x:v>
      </x:c>
      <x:c r="K91" s="32" t="str">
        <x:v>Laboratorios Bagó</x:v>
      </x:c>
      <x:c r="L91" s="32" t="str">
        <x:v>Caja x 30 tabletas</x:v>
      </x:c>
      <x:c r="M91" s="28" t="n">
        <x:v>1</x:v>
      </x:c>
      <x:c r="N91" s="28" t="n">
        <x:v>60</x:v>
      </x:c>
      <x:c r="O91" s="28" t="n">
        <x:f>M91*N91</x:f>
        <x:v>60</x:v>
      </x:c>
      <x:c r="P91" s="24" t="n">
        <x:v>3.31</x:v>
      </x:c>
      <x:c r="Q91" s="26" t="n">
        <x:v>0.09880317128910421</x:v>
      </x:c>
      <x:c r="R91" s="24" t="n">
        <x:f>O91*P91*Q91</x:f>
        <x:v>19.622309818016095</x:v>
      </x:c>
      <x:c r="S91" s="24" t="n">
        <x:f>P91*(1-Q91)</x:f>
        <x:v>2.982961503033065</x:v>
      </x:c>
      <x:c r="T91" s="24" t="n">
        <x:f>O91*S91</x:f>
        <x:v>178.9776901819839</x:v>
      </x:c>
      <x:c r="U91" t="str">
        <x:v>VALLE</x:v>
      </x:c>
      <x:c r="V91" t="str">
        <x:v>Farmacia Valle de los Chillos</x:v>
      </x:c>
      <x:c r="W91" t="str">
        <x:v>Zona Valle</x:v>
      </x:c>
      <x:c r="X91" t="str">
        <x:v>Sangolquí</x:v>
      </x:c>
      <x:c r="Y91" s="32" t="str">
        <x:v>Av. Calderón 101</x:v>
      </x:c>
      <x:c r="Z91" s="22" t="n">
        <x:v>46032</x:v>
      </x:c>
      <x:c r="AA91" t="str">
        <x:v>Recibido</x:v>
      </x:c>
      <x:c r="AB91" t="str">
        <x:v>60 días crédito</x:v>
      </x:c>
      <x:c r="AC91" s="32" t="str">
        <x:v>Entrega coordinada fuera de horario regular</x:v>
      </x:c>
    </x:row>
    <x:row r="92">
      <x:c r="A92" t="n">
        <x:v>91</x:v>
      </x:c>
      <x:c r="B92" s="22" t="n">
        <x:v>46336</x:v>
      </x:c>
      <x:c r="C92" t="str">
        <x:v>OC-2026-0091</x:v>
      </x:c>
      <x:c r="D92" t="str">
        <x:v>F-D007-202611-1865</x:v>
      </x:c>
      <x:c r="E92" t="str">
        <x:v>L2611-006-0091</x:v>
      </x:c>
      <x:c r="F92" t="str">
        <x:v>D007</x:v>
      </x:c>
      <x:c r="G92" s="32" t="str">
        <x:v>Comercializadora BioFarma</x:v>
      </x:c>
      <x:c r="H92" t="str">
        <x:v>MED006</x:v>
      </x:c>
      <x:c r="I92" s="32" t="str">
        <x:v>Vitamina C 1 g</x:v>
      </x:c>
      <x:c r="J92" s="32" t="str">
        <x:v>Vitaminas</x:v>
      </x:c>
      <x:c r="K92" s="32" t="str">
        <x:v>Novartis</x:v>
      </x:c>
      <x:c r="L92" s="32" t="str">
        <x:v>Tubo x 10 efervescentes</x:v>
      </x:c>
      <x:c r="M92" s="28" t="n">
        <x:v>4</x:v>
      </x:c>
      <x:c r="N92" s="28" t="n">
        <x:v>60</x:v>
      </x:c>
      <x:c r="O92" s="28" t="n">
        <x:f>M92*N92</x:f>
        <x:v>240</x:v>
      </x:c>
      <x:c r="P92" s="24" t="n">
        <x:v>2.26</x:v>
      </x:c>
      <x:c r="Q92" s="26" t="n">
        <x:v>0.07147657976765343</x:v>
      </x:c>
      <x:c r="R92" s="24" t="n">
        <x:f>O92*P92*Q92</x:f>
        <x:v>38.768896865975215</x:v>
      </x:c>
      <x:c r="S92" s="24" t="n">
        <x:f>P92*(1-Q92)</x:f>
        <x:v>2.098462929725103</x:v>
      </x:c>
      <x:c r="T92" s="24" t="n">
        <x:f>O92*S92</x:f>
        <x:v>503.6311031340248</x:v>
      </x:c>
      <x:c r="U92" t="str">
        <x:v>CENTRO</x:v>
      </x:c>
      <x:c r="V92" t="str">
        <x:v>Farmacia Centro Histórico</x:v>
      </x:c>
      <x:c r="W92" t="str">
        <x:v>Zona Centro</x:v>
      </x:c>
      <x:c r="X92" t="str">
        <x:v>Quito</x:v>
      </x:c>
      <x:c r="Y92" s="32" t="str">
        <x:v>Guayaquil y Chile</x:v>
      </x:c>
      <x:c r="Z92" s="22" t="n">
        <x:v>46340</x:v>
      </x:c>
      <x:c r="AA92" t="str">
        <x:v>Recibido</x:v>
      </x:c>
      <x:c r="AB92" t="str">
        <x:v>15 días crédito</x:v>
      </x:c>
      <x:c r="AC92" s="32" t="str">
        <x:v>Entrega coordinada fuera de horario regular</x:v>
      </x:c>
    </x:row>
    <x:row r="93">
      <x:c r="A93" t="n">
        <x:v>92</x:v>
      </x:c>
      <x:c r="B93" s="22" t="n">
        <x:v>46241</x:v>
      </x:c>
      <x:c r="C93" t="str">
        <x:v>OC-2026-0092</x:v>
      </x:c>
      <x:c r="D93" t="str">
        <x:v>F-D006-202608-1307</x:v>
      </x:c>
      <x:c r="E93" t="str">
        <x:v>L2608-002-0092</x:v>
      </x:c>
      <x:c r="F93" t="str">
        <x:v>D006</x:v>
      </x:c>
      <x:c r="G93" s="32" t="str">
        <x:v>Insumos Médicos del Pacífico</x:v>
      </x:c>
      <x:c r="H93" t="str">
        <x:v>MED002</x:v>
      </x:c>
      <x:c r="I93" s="32" t="str">
        <x:v>Ibuprofeno 400 mg</x:v>
      </x:c>
      <x:c r="J93" s="32" t="str">
        <x:v>Analgésicos</x:v>
      </x:c>
      <x:c r="K93" s="32" t="str">
        <x:v>La Santé</x:v>
      </x:c>
      <x:c r="L93" s="32" t="str">
        <x:v>Caja x 20 tabletas</x:v>
      </x:c>
      <x:c r="M93" s="28" t="n">
        <x:v>4</x:v>
      </x:c>
      <x:c r="N93" s="28" t="n">
        <x:v>30</x:v>
      </x:c>
      <x:c r="O93" s="28" t="n">
        <x:f>M93*N93</x:f>
        <x:v>120</x:v>
      </x:c>
      <x:c r="P93" s="24" t="n">
        <x:v>1.16</x:v>
      </x:c>
      <x:c r="Q93" s="26" t="n">
        <x:v>0.11603532582918928</x:v>
      </x:c>
      <x:c r="R93" s="24" t="n">
        <x:f>O93*P93*Q93</x:f>
        <x:v>16.152117355423147</x:v>
      </x:c>
      <x:c r="S93" s="24" t="n">
        <x:f>P93*(1-Q93)</x:f>
        <x:v>1.0253990220381404</x:v>
      </x:c>
      <x:c r="T93" s="24" t="n">
        <x:f>O93*S93</x:f>
        <x:v>123.04788264457684</x:v>
      </x:c>
      <x:c r="U93" t="str">
        <x:v>VALLE</x:v>
      </x:c>
      <x:c r="V93" t="str">
        <x:v>Farmacia Valle de los Chillos</x:v>
      </x:c>
      <x:c r="W93" t="str">
        <x:v>Zona Valle</x:v>
      </x:c>
      <x:c r="X93" t="str">
        <x:v>Sangolquí</x:v>
      </x:c>
      <x:c r="Y93" s="32" t="str">
        <x:v>Av. Calderón 101</x:v>
      </x:c>
      <x:c r="Z93" s="22" t="n">
        <x:v>46245</x:v>
      </x:c>
      <x:c r="AA93" t="str">
        <x:v>Recibido</x:v>
      </x:c>
      <x:c r="AB93" t="str">
        <x:v>60 días crédito</x:v>
      </x:c>
      <x:c r="AC93" s="32" t="str"/>
    </x:row>
    <x:row r="94">
      <x:c r="A94" t="n">
        <x:v>93</x:v>
      </x:c>
      <x:c r="B94" s="22" t="n">
        <x:v>45927</x:v>
      </x:c>
      <x:c r="C94" t="str">
        <x:v>OC-2025-0093</x:v>
      </x:c>
      <x:c r="D94" t="str">
        <x:v>F-D008-202509-1397</x:v>
      </x:c>
      <x:c r="E94" t="str">
        <x:v>L2509-013-0093</x:v>
      </x:c>
      <x:c r="F94" t="str">
        <x:v>D008</x:v>
      </x:c>
      <x:c r="G94" s="32" t="str">
        <x:v>Mayorista MedicPlus</x:v>
      </x:c>
      <x:c r="H94" t="str">
        <x:v>MED013</x:v>
      </x:c>
      <x:c r="I94" s="32" t="str">
        <x:v>Probióticos</x:v>
      </x:c>
      <x:c r="J94" s="32" t="str">
        <x:v>Gastrointestinales</x:v>
      </x:c>
      <x:c r="K94" s="32" t="str">
        <x:v>Laboratorios Bagó</x:v>
      </x:c>
      <x:c r="L94" s="32" t="str">
        <x:v>Caja x 10 sobres</x:v>
      </x:c>
      <x:c r="M94" s="28" t="n">
        <x:v>7</x:v>
      </x:c>
      <x:c r="N94" s="28" t="n">
        <x:v>30</x:v>
      </x:c>
      <x:c r="O94" s="28" t="n">
        <x:f>M94*N94</x:f>
        <x:v>210</x:v>
      </x:c>
      <x:c r="P94" s="24" t="n">
        <x:v>5.94</x:v>
      </x:c>
      <x:c r="Q94" s="26" t="n">
        <x:v>0.09649612844959168</x:v>
      </x:c>
      <x:c r="R94" s="24" t="n">
        <x:f>O94*P94*Q94</x:f>
        <x:v>120.36927062802067</x:v>
      </x:c>
      <x:c r="S94" s="24" t="n">
        <x:f>P94*(1-Q94)</x:f>
        <x:v>5.366812997009426</x:v>
      </x:c>
      <x:c r="T94" s="24" t="n">
        <x:f>O94*S94</x:f>
        <x:v>1127.0307293719793</x:v>
      </x:c>
      <x:c r="U94" t="str">
        <x:v>SUR</x:v>
      </x:c>
      <x:c r="V94" t="str">
        <x:v>Farmacia del Sur</x:v>
      </x:c>
      <x:c r="W94" t="str">
        <x:v>Zona Sur</x:v>
      </x:c>
      <x:c r="X94" t="str">
        <x:v>Quito</x:v>
      </x:c>
      <x:c r="Y94" s="32" t="str">
        <x:v>Av. Maldonado S25-10</x:v>
      </x:c>
      <x:c r="Z94" s="22" t="n">
        <x:v>45931</x:v>
      </x:c>
      <x:c r="AA94" t="str">
        <x:v>Recibido</x:v>
      </x:c>
      <x:c r="AB94" t="str">
        <x:v>30 días crédito</x:v>
      </x:c>
      <x:c r="AC94" s="32" t="str"/>
    </x:row>
    <x:row r="95">
      <x:c r="A95" t="n">
        <x:v>94</x:v>
      </x:c>
      <x:c r="B95" s="22" t="n">
        <x:v>46143</x:v>
      </x:c>
      <x:c r="C95" t="str">
        <x:v>OC-2026-0094</x:v>
      </x:c>
      <x:c r="D95" t="str">
        <x:v>F-D005-202605-4815</x:v>
      </x:c>
      <x:c r="E95" t="str">
        <x:v>L2605-012-0094</x:v>
      </x:c>
      <x:c r="F95" t="str">
        <x:v>D005</x:v>
      </x:c>
      <x:c r="G95" s="32" t="str">
        <x:v>PharmaExpress Quito</x:v>
      </x:c>
      <x:c r="H95" t="str">
        <x:v>MED012</x:v>
      </x:c>
      <x:c r="I95" s="32" t="str">
        <x:v>Multivitamínico adulto</x:v>
      </x:c>
      <x:c r="J95" s="32" t="str">
        <x:v>Vitaminas</x:v>
      </x:c>
      <x:c r="K95" s="32" t="str">
        <x:v>Novartis</x:v>
      </x:c>
      <x:c r="L95" s="32" t="str">
        <x:v>Frasco x 30 tabletas</x:v>
      </x:c>
      <x:c r="M95" s="28" t="n">
        <x:v>5</x:v>
      </x:c>
      <x:c r="N95" s="28" t="n">
        <x:v>30</x:v>
      </x:c>
      <x:c r="O95" s="28" t="n">
        <x:f>M95*N95</x:f>
        <x:v>150</x:v>
      </x:c>
      <x:c r="P95" s="24" t="n">
        <x:v>4.24</x:v>
      </x:c>
      <x:c r="Q95" s="26" t="n">
        <x:v>0.06842873800427506</x:v>
      </x:c>
      <x:c r="R95" s="24" t="n">
        <x:f>O95*P95*Q95</x:f>
        <x:v>43.520677370718936</x:v>
      </x:c>
      <x:c r="S95" s="24" t="n">
        <x:f>P95*(1-Q95)</x:f>
        <x:v>3.949862150861874</x:v>
      </x:c>
      <x:c r="T95" s="24" t="n">
        <x:f>O95*S95</x:f>
        <x:v>592.4793226292811</x:v>
      </x:c>
      <x:c r="U95" t="str">
        <x:v>CENTRO</x:v>
      </x:c>
      <x:c r="V95" t="str">
        <x:v>Farmacia Centro Histórico</x:v>
      </x:c>
      <x:c r="W95" t="str">
        <x:v>Zona Centro</x:v>
      </x:c>
      <x:c r="X95" t="str">
        <x:v>Quito</x:v>
      </x:c>
      <x:c r="Y95" s="32" t="str">
        <x:v>Guayaquil y Chile</x:v>
      </x:c>
      <x:c r="Z95" s="22" t="n">
        <x:v>46146</x:v>
      </x:c>
      <x:c r="AA95" t="str">
        <x:v>Recibido</x:v>
      </x:c>
      <x:c r="AB95" t="str">
        <x:v>30 días crédito</x:v>
      </x:c>
      <x:c r="AC95" s="32" t="str"/>
    </x:row>
    <x:row r="96">
      <x:c r="A96" t="n">
        <x:v>95</x:v>
      </x:c>
      <x:c r="B96" s="22" t="n">
        <x:v>45997</x:v>
      </x:c>
      <x:c r="C96" t="str">
        <x:v>OC-2025-0095</x:v>
      </x:c>
      <x:c r="D96" t="str">
        <x:v>F-D008-202512-8155</x:v>
      </x:c>
      <x:c r="E96" t="str">
        <x:v>L2512-007-0095</x:v>
      </x:c>
      <x:c r="F96" t="str">
        <x:v>D008</x:v>
      </x:c>
      <x:c r="G96" s="32" t="str">
        <x:v>Mayorista MedicPlus</x:v>
      </x:c>
      <x:c r="H96" t="str">
        <x:v>MED007</x:v>
      </x:c>
      <x:c r="I96" s="32" t="str">
        <x:v>Omeprazol 20 mg</x:v>
      </x:c>
      <x:c r="J96" s="32" t="str">
        <x:v>Gastrointestinales</x:v>
      </x:c>
      <x:c r="K96" s="32" t="str">
        <x:v>La Santé</x:v>
      </x:c>
      <x:c r="L96" s="32" t="str">
        <x:v>Caja x 30 cápsulas</x:v>
      </x:c>
      <x:c r="M96" s="28" t="n">
        <x:v>16</x:v>
      </x:c>
      <x:c r="N96" s="28" t="n">
        <x:v>30</x:v>
      </x:c>
      <x:c r="O96" s="28" t="n">
        <x:f>M96*N96</x:f>
        <x:v>480</x:v>
      </x:c>
      <x:c r="P96" s="24" t="n">
        <x:v>2.98</x:v>
      </x:c>
      <x:c r="Q96" s="26" t="n">
        <x:v>0.1140897792293215</x:v>
      </x:c>
      <x:c r="R96" s="24" t="n">
        <x:f>O96*P96*Q96</x:f>
        <x:v>163.19402020962147</x:v>
      </x:c>
      <x:c r="S96" s="24" t="n">
        <x:f>P96*(1-Q96)</x:f>
        <x:v>2.640012457896622</x:v>
      </x:c>
      <x:c r="T96" s="24" t="n">
        <x:f>O96*S96</x:f>
        <x:v>1267.2059797903785</x:v>
      </x:c>
      <x:c r="U96" t="str">
        <x:v>NORTE</x:v>
      </x:c>
      <x:c r="V96" t="str">
        <x:v>Farmacia Norte</x:v>
      </x:c>
      <x:c r="W96" t="str">
        <x:v>Zona Norte</x:v>
      </x:c>
      <x:c r="X96" t="str">
        <x:v>Quito</x:v>
      </x:c>
      <x:c r="Y96" s="32" t="str">
        <x:v>Av. 10 de Agosto N45-20</x:v>
      </x:c>
      <x:c r="Z96" s="22" t="n">
        <x:v>45999</x:v>
      </x:c>
      <x:c r="AA96" t="str">
        <x:v>Recibido</x:v>
      </x:c>
      <x:c r="AB96" t="str">
        <x:v>30 días crédito</x:v>
      </x:c>
      <x:c r="AC96" s="32" t="str"/>
    </x:row>
    <x:row r="97">
      <x:c r="A97" t="n">
        <x:v>96</x:v>
      </x:c>
      <x:c r="B97" s="22" t="n">
        <x:v>45695</x:v>
      </x:c>
      <x:c r="C97" t="str">
        <x:v>OC-2025-0096</x:v>
      </x:c>
      <x:c r="D97" t="str">
        <x:v>F-D005-202502-7656</x:v>
      </x:c>
      <x:c r="E97" t="str">
        <x:v>L2502-001-0096</x:v>
      </x:c>
      <x:c r="F97" t="str">
        <x:v>D005</x:v>
      </x:c>
      <x:c r="G97" s="32" t="str">
        <x:v>PharmaExpress Quito</x:v>
      </x:c>
      <x:c r="H97" t="str">
        <x:v>MED001</x:v>
      </x:c>
      <x:c r="I97" s="32" t="str">
        <x:v>Paracetamol 500 mg</x:v>
      </x:c>
      <x:c r="J97" s="32" t="str">
        <x:v>Analgésicos</x:v>
      </x:c>
      <x:c r="K97" s="32" t="str">
        <x:v>Genfar</x:v>
      </x:c>
      <x:c r="L97" s="32" t="str">
        <x:v>Caja x 20 tabletas</x:v>
      </x:c>
      <x:c r="M97" s="28" t="n">
        <x:v>5</x:v>
      </x:c>
      <x:c r="N97" s="28" t="n">
        <x:v>50</x:v>
      </x:c>
      <x:c r="O97" s="28" t="n">
        <x:f>M97*N97</x:f>
        <x:v>250</x:v>
      </x:c>
      <x:c r="P97" s="24" t="n">
        <x:v>0.78</x:v>
      </x:c>
      <x:c r="Q97" s="26" t="n">
        <x:v>0.06799033329136403</x:v>
      </x:c>
      <x:c r="R97" s="24" t="n">
        <x:f>O97*P97*Q97</x:f>
        <x:v>13.258114991815987</x:v>
      </x:c>
      <x:c r="S97" s="24" t="n">
        <x:f>P97*(1-Q97)</x:f>
        <x:v>0.7269675400327361</x:v>
      </x:c>
      <x:c r="T97" s="24" t="n">
        <x:f>O97*S97</x:f>
        <x:v>181.74188500818403</x:v>
      </x:c>
      <x:c r="U97" t="str">
        <x:v>VALLE</x:v>
      </x:c>
      <x:c r="V97" t="str">
        <x:v>Farmacia Valle de los Chillos</x:v>
      </x:c>
      <x:c r="W97" t="str">
        <x:v>Zona Valle</x:v>
      </x:c>
      <x:c r="X97" t="str">
        <x:v>Sangolquí</x:v>
      </x:c>
      <x:c r="Y97" s="32" t="str">
        <x:v>Av. Calderón 101</x:v>
      </x:c>
      <x:c r="Z97" s="22" t="n">
        <x:v>45696</x:v>
      </x:c>
      <x:c r="AA97" t="str">
        <x:v>Recibido</x:v>
      </x:c>
      <x:c r="AB97" t="str">
        <x:v>30 días crédito</x:v>
      </x:c>
      <x:c r="AC97" s="32" t="str">
        <x:v>Entrega coordinada fuera de horario regular</x:v>
      </x:c>
    </x:row>
    <x:row r="98">
      <x:c r="A98" t="n">
        <x:v>97</x:v>
      </x:c>
      <x:c r="B98" s="22" t="n">
        <x:v>45946</x:v>
      </x:c>
      <x:c r="C98" t="str">
        <x:v>OC-2025-0097</x:v>
      </x:c>
      <x:c r="D98" t="str">
        <x:v>F-D001-202510-9595</x:v>
      </x:c>
      <x:c r="E98" t="str">
        <x:v>L2510-005-0097</x:v>
      </x:c>
      <x:c r="F98" t="str">
        <x:v>D001</x:v>
      </x:c>
      <x:c r="G98" s="32" t="str">
        <x:v>DistriFarma Andina S.A.</x:v>
      </x:c>
      <x:c r="H98" t="str">
        <x:v>MED005</x:v>
      </x:c>
      <x:c r="I98" s="32" t="str">
        <x:v>Loratadina 10 mg</x:v>
      </x:c>
      <x:c r="J98" s="32" t="str">
        <x:v>Antigripales</x:v>
      </x:c>
      <x:c r="K98" s="32" t="str">
        <x:v>Genfar</x:v>
      </x:c>
      <x:c r="L98" s="32" t="str">
        <x:v>Caja x 10 tabletas</x:v>
      </x:c>
      <x:c r="M98" s="28" t="n">
        <x:v>15</x:v>
      </x:c>
      <x:c r="N98" s="28" t="n">
        <x:v>24</x:v>
      </x:c>
      <x:c r="O98" s="28" t="n">
        <x:f>M98*N98</x:f>
        <x:v>360</x:v>
      </x:c>
      <x:c r="P98" s="24" t="n">
        <x:v>0.94</x:v>
      </x:c>
      <x:c r="Q98" s="26" t="n">
        <x:v>0.08049981758620532</x:v>
      </x:c>
      <x:c r="R98" s="24" t="n">
        <x:f>O98*P98*Q98</x:f>
        <x:v>27.24113827117188</x:v>
      </x:c>
      <x:c r="S98" s="24" t="n">
        <x:f>P98*(1-Q98)</x:f>
        <x:v>0.864330171468967</x:v>
      </x:c>
      <x:c r="T98" s="24" t="n">
        <x:f>O98*S98</x:f>
        <x:v>311.15886172882813</x:v>
      </x:c>
      <x:c r="U98" t="str">
        <x:v>CENTRO</x:v>
      </x:c>
      <x:c r="V98" t="str">
        <x:v>Farmacia Centro Histórico</x:v>
      </x:c>
      <x:c r="W98" t="str">
        <x:v>Zona Centro</x:v>
      </x:c>
      <x:c r="X98" t="str">
        <x:v>Quito</x:v>
      </x:c>
      <x:c r="Y98" s="32" t="str">
        <x:v>Guayaquil y Chile</x:v>
      </x:c>
      <x:c r="Z98" s="22" t="n">
        <x:v>45950</x:v>
      </x:c>
      <x:c r="AA98" t="str">
        <x:v>Recibido</x:v>
      </x:c>
      <x:c r="AB98" t="str">
        <x:v>30 días crédito</x:v>
      </x:c>
      <x:c r="AC98" s="32" t="str"/>
    </x:row>
    <x:row r="99">
      <x:c r="A99" t="n">
        <x:v>98</x:v>
      </x:c>
      <x:c r="B99" s="22" t="n">
        <x:v>46030</x:v>
      </x:c>
      <x:c r="C99" t="str">
        <x:v>OC-2026-0098</x:v>
      </x:c>
      <x:c r="D99" t="str">
        <x:v>F-D003-202601-3337</x:v>
      </x:c>
      <x:c r="E99" t="str">
        <x:v>L2601-007-0098</x:v>
      </x:c>
      <x:c r="F99" t="str">
        <x:v>D003</x:v>
      </x:c>
      <x:c r="G99" s="32" t="str">
        <x:v>FarmaLogística Sierra</x:v>
      </x:c>
      <x:c r="H99" t="str">
        <x:v>MED007</x:v>
      </x:c>
      <x:c r="I99" s="32" t="str">
        <x:v>Omeprazol 20 mg</x:v>
      </x:c>
      <x:c r="J99" s="32" t="str">
        <x:v>Gastrointestinales</x:v>
      </x:c>
      <x:c r="K99" s="32" t="str">
        <x:v>La Santé</x:v>
      </x:c>
      <x:c r="L99" s="32" t="str">
        <x:v>Caja x 30 cápsulas</x:v>
      </x:c>
      <x:c r="M99" s="28" t="n">
        <x:v>5</x:v>
      </x:c>
      <x:c r="N99" s="28" t="n">
        <x:v>50</x:v>
      </x:c>
      <x:c r="O99" s="28" t="n">
        <x:f>M99*N99</x:f>
        <x:v>250</x:v>
      </x:c>
      <x:c r="P99" s="24" t="n">
        <x:v>3.05</x:v>
      </x:c>
      <x:c r="Q99" s="26" t="n">
        <x:v>0.018467583908994927</x:v>
      </x:c>
      <x:c r="R99" s="24" t="n">
        <x:f>O99*P99*Q99</x:f>
        <x:v>14.081532730608632</x:v>
      </x:c>
      <x:c r="S99" s="24" t="n">
        <x:f>P99*(1-Q99)</x:f>
        <x:v>2.9936738690775653</x:v>
      </x:c>
      <x:c r="T99" s="24" t="n">
        <x:f>O99*S99</x:f>
        <x:v>748.4184672693913</x:v>
      </x:c>
      <x:c r="U99" t="str">
        <x:v>SUR</x:v>
      </x:c>
      <x:c r="V99" t="str">
        <x:v>Farmacia del Sur</x:v>
      </x:c>
      <x:c r="W99" t="str">
        <x:v>Zona Sur</x:v>
      </x:c>
      <x:c r="X99" t="str">
        <x:v>Quito</x:v>
      </x:c>
      <x:c r="Y99" s="32" t="str">
        <x:v>Av. Maldonado S25-10</x:v>
      </x:c>
      <x:c r="Z99" s="22" t="n">
        <x:v>46034</x:v>
      </x:c>
      <x:c r="AA99" t="str">
        <x:v>Recibido</x:v>
      </x:c>
      <x:c r="AB99" t="str">
        <x:v>Contado contra entrega</x:v>
      </x:c>
      <x:c r="AC99" s="32" t="str"/>
    </x:row>
    <x:row r="100">
      <x:c r="A100" t="n">
        <x:v>99</x:v>
      </x:c>
      <x:c r="B100" s="22" t="n">
        <x:v>45805</x:v>
      </x:c>
      <x:c r="C100" t="str">
        <x:v>OC-2025-0099</x:v>
      </x:c>
      <x:c r="D100" t="str">
        <x:v>F-D007-202505-1128</x:v>
      </x:c>
      <x:c r="E100" t="str">
        <x:v>L2505-006-0099</x:v>
      </x:c>
      <x:c r="F100" t="str">
        <x:v>D007</x:v>
      </x:c>
      <x:c r="G100" s="32" t="str">
        <x:v>Comercializadora BioFarma</x:v>
      </x:c>
      <x:c r="H100" t="str">
        <x:v>MED006</x:v>
      </x:c>
      <x:c r="I100" s="32" t="str">
        <x:v>Vitamina C 1 g</x:v>
      </x:c>
      <x:c r="J100" s="32" t="str">
        <x:v>Vitaminas</x:v>
      </x:c>
      <x:c r="K100" s="32" t="str">
        <x:v>Novartis</x:v>
      </x:c>
      <x:c r="L100" s="32" t="str">
        <x:v>Tubo x 10 efervescentes</x:v>
      </x:c>
      <x:c r="M100" s="28" t="n">
        <x:v>4</x:v>
      </x:c>
      <x:c r="N100" s="28" t="n">
        <x:v>50</x:v>
      </x:c>
      <x:c r="O100" s="28" t="n">
        <x:f>M100*N100</x:f>
        <x:v>200</x:v>
      </x:c>
      <x:c r="P100" s="24" t="n">
        <x:v>2.26</x:v>
      </x:c>
      <x:c r="Q100" s="26" t="n">
        <x:v>0.03803506056342181</x:v>
      </x:c>
      <x:c r="R100" s="24" t="n">
        <x:f>O100*P100*Q100</x:f>
        <x:v>17.191847374666658</x:v>
      </x:c>
      <x:c r="S100" s="24" t="n">
        <x:f>P100*(1-Q100)</x:f>
        <x:v>2.1740407631266665</x:v>
      </x:c>
      <x:c r="T100" s="24" t="n">
        <x:f>O100*S100</x:f>
        <x:v>434.8081526253333</x:v>
      </x:c>
      <x:c r="U100" t="str">
        <x:v>VALLE</x:v>
      </x:c>
      <x:c r="V100" t="str">
        <x:v>Farmacia Valle de los Chillos</x:v>
      </x:c>
      <x:c r="W100" t="str">
        <x:v>Zona Valle</x:v>
      </x:c>
      <x:c r="X100" t="str">
        <x:v>Sangolquí</x:v>
      </x:c>
      <x:c r="Y100" s="32" t="str">
        <x:v>Av. Calderón 101</x:v>
      </x:c>
      <x:c r="Z100" s="22" t="n">
        <x:v>45806</x:v>
      </x:c>
      <x:c r="AA100" t="str">
        <x:v>Recibido</x:v>
      </x:c>
      <x:c r="AB100" t="str">
        <x:v>15 días crédito</x:v>
      </x:c>
      <x:c r="AC100" s="32" t="str"/>
    </x:row>
    <x:row r="101">
      <x:c r="A101" t="n">
        <x:v>100</x:v>
      </x:c>
      <x:c r="B101" s="22" t="n">
        <x:v>46360</x:v>
      </x:c>
      <x:c r="C101" t="str">
        <x:v>OC-2026-0100</x:v>
      </x:c>
      <x:c r="D101" t="str">
        <x:v>F-D003-202612-1138</x:v>
      </x:c>
      <x:c r="E101" t="str">
        <x:v>L2612-002-0100</x:v>
      </x:c>
      <x:c r="F101" t="str">
        <x:v>D003</x:v>
      </x:c>
      <x:c r="G101" s="32" t="str">
        <x:v>FarmaLogística Sierra</x:v>
      </x:c>
      <x:c r="H101" t="str">
        <x:v>MED002</x:v>
      </x:c>
      <x:c r="I101" s="32" t="str">
        <x:v>Ibuprofeno 400 mg</x:v>
      </x:c>
      <x:c r="J101" s="32" t="str">
        <x:v>Analgésicos</x:v>
      </x:c>
      <x:c r="K101" s="32" t="str">
        <x:v>La Santé</x:v>
      </x:c>
      <x:c r="L101" s="32" t="str">
        <x:v>Caja x 20 tabletas</x:v>
      </x:c>
      <x:c r="M101" s="28" t="n">
        <x:v>5</x:v>
      </x:c>
      <x:c r="N101" s="28" t="n">
        <x:v>24</x:v>
      </x:c>
      <x:c r="O101" s="28" t="n">
        <x:f>M101*N101</x:f>
        <x:v>120</x:v>
      </x:c>
      <x:c r="P101" s="24" t="n">
        <x:v>1.15</x:v>
      </x:c>
      <x:c r="Q101" s="26" t="n">
        <x:v>0.06348197765827662</x:v>
      </x:c>
      <x:c r="R101" s="24" t="n">
        <x:f>O101*P101*Q101</x:f>
        <x:v>8.760512916842174</x:v>
      </x:c>
      <x:c r="S101" s="24" t="n">
        <x:f>P101*(1-Q101)</x:f>
        <x:v>1.0769957256929816</x:v>
      </x:c>
      <x:c r="T101" s="24" t="n">
        <x:f>O101*S101</x:f>
        <x:v>129.2394870831578</x:v>
      </x:c>
      <x:c r="U101" t="str">
        <x:v>NORTE</x:v>
      </x:c>
      <x:c r="V101" t="str">
        <x:v>Farmacia Norte</x:v>
      </x:c>
      <x:c r="W101" t="str">
        <x:v>Zona Norte</x:v>
      </x:c>
      <x:c r="X101" t="str">
        <x:v>Quito</x:v>
      </x:c>
      <x:c r="Y101" s="32" t="str">
        <x:v>Av. 10 de Agosto N45-20</x:v>
      </x:c>
      <x:c r="Z101" s="22" t="n">
        <x:v>46363</x:v>
      </x:c>
      <x:c r="AA101" t="str">
        <x:v>Recibido</x:v>
      </x:c>
      <x:c r="AB101" t="str">
        <x:v>Contado contra entrega</x:v>
      </x:c>
      <x:c r="AC101" s="32" t="str"/>
    </x:row>
    <x:row r="102">
      <x:c r="A102" t="n">
        <x:v>101</x:v>
      </x:c>
      <x:c r="B102" s="22" t="n">
        <x:v>46169</x:v>
      </x:c>
      <x:c r="C102" t="str">
        <x:v>OC-2026-0101</x:v>
      </x:c>
      <x:c r="D102" t="str">
        <x:v>F-D006-202605-1387</x:v>
      </x:c>
      <x:c r="E102" t="str">
        <x:v>L2605-009-0101</x:v>
      </x:c>
      <x:c r="F102" t="str">
        <x:v>D006</x:v>
      </x:c>
      <x:c r="G102" s="32" t="str">
        <x:v>Insumos Médicos del Pacífico</x:v>
      </x:c>
      <x:c r="H102" t="str">
        <x:v>MED009</x:v>
      </x:c>
      <x:c r="I102" s="32" t="str">
        <x:v>Losartán 50 mg</x:v>
      </x:c>
      <x:c r="J102" s="32" t="str">
        <x:v>Cardiovasculares</x:v>
      </x:c>
      <x:c r="K102" s="32" t="str">
        <x:v>Laboratorios Bagó</x:v>
      </x:c>
      <x:c r="L102" s="32" t="str">
        <x:v>Caja x 30 tabletas</x:v>
      </x:c>
      <x:c r="M102" s="28" t="n">
        <x:v>15</x:v>
      </x:c>
      <x:c r="N102" s="28" t="n">
        <x:v>24</x:v>
      </x:c>
      <x:c r="O102" s="28" t="n">
        <x:f>M102*N102</x:f>
        <x:v>360</x:v>
      </x:c>
      <x:c r="P102" s="24" t="n">
        <x:v>3.04</x:v>
      </x:c>
      <x:c r="Q102" s="26" t="n">
        <x:v>0.11158297226568095</x:v>
      </x:c>
      <x:c r="R102" s="24" t="n">
        <x:f>O102*P102*Q102</x:f>
        <x:v>122.11640484756124</x:v>
      </x:c>
      <x:c r="S102" s="24" t="n">
        <x:f>P102*(1-Q102)</x:f>
        <x:v>2.70078776431233</x:v>
      </x:c>
      <x:c r="T102" s="24" t="n">
        <x:f>O102*S102</x:f>
        <x:v>972.2835951524388</x:v>
      </x:c>
      <x:c r="U102" t="str">
        <x:v>CENTRO</x:v>
      </x:c>
      <x:c r="V102" t="str">
        <x:v>Farmacia Centro Histórico</x:v>
      </x:c>
      <x:c r="W102" t="str">
        <x:v>Zona Centro</x:v>
      </x:c>
      <x:c r="X102" t="str">
        <x:v>Quito</x:v>
      </x:c>
      <x:c r="Y102" s="32" t="str">
        <x:v>Guayaquil y Chile</x:v>
      </x:c>
      <x:c r="Z102" s="22" t="n">
        <x:v>46171</x:v>
      </x:c>
      <x:c r="AA102" t="str">
        <x:v>Recibido</x:v>
      </x:c>
      <x:c r="AB102" t="str">
        <x:v>60 días crédito</x:v>
      </x:c>
      <x:c r="AC102" s="32" t="str"/>
    </x:row>
    <x:row r="103">
      <x:c r="A103" t="n">
        <x:v>102</x:v>
      </x:c>
      <x:c r="B103" s="22" t="n">
        <x:v>45811</x:v>
      </x:c>
      <x:c r="C103" t="str">
        <x:v>OC-2025-0102</x:v>
      </x:c>
      <x:c r="D103" t="str">
        <x:v>F-D007-202506-7378</x:v>
      </x:c>
      <x:c r="E103" t="str">
        <x:v>L2506-006-0102</x:v>
      </x:c>
      <x:c r="F103" t="str">
        <x:v>D007</x:v>
      </x:c>
      <x:c r="G103" s="32" t="str">
        <x:v>Comercializadora BioFarma</x:v>
      </x:c>
      <x:c r="H103" t="str">
        <x:v>MED006</x:v>
      </x:c>
      <x:c r="I103" s="32" t="str">
        <x:v>Vitamina C 1 g</x:v>
      </x:c>
      <x:c r="J103" s="32" t="str">
        <x:v>Vitaminas</x:v>
      </x:c>
      <x:c r="K103" s="32" t="str">
        <x:v>Novartis</x:v>
      </x:c>
      <x:c r="L103" s="32" t="str">
        <x:v>Tubo x 10 efervescentes</x:v>
      </x:c>
      <x:c r="M103" s="28" t="n">
        <x:v>24</x:v>
      </x:c>
      <x:c r="N103" s="28" t="n">
        <x:v>20</x:v>
      </x:c>
      <x:c r="O103" s="28" t="n">
        <x:f>M103*N103</x:f>
        <x:v>480</x:v>
      </x:c>
      <x:c r="P103" s="24" t="n">
        <x:v>2.39</x:v>
      </x:c>
      <x:c r="Q103" s="26" t="n">
        <x:v>0.043384636599857265</x:v>
      </x:c>
      <x:c r="R103" s="24" t="n">
        <x:f>O103*P103*Q103</x:f>
        <x:v>49.770855107356255</x:v>
      </x:c>
      <x:c r="S103" s="24" t="n">
        <x:f>P103*(1-Q103)</x:f>
        <x:v>2.2863107185263414</x:v>
      </x:c>
      <x:c r="T103" s="24" t="n">
        <x:f>O103*S103</x:f>
        <x:v>1097.4291448926438</x:v>
      </x:c>
      <x:c r="U103" t="str">
        <x:v>CENTRO</x:v>
      </x:c>
      <x:c r="V103" t="str">
        <x:v>Farmacia Centro Histórico</x:v>
      </x:c>
      <x:c r="W103" t="str">
        <x:v>Zona Centro</x:v>
      </x:c>
      <x:c r="X103" t="str">
        <x:v>Quito</x:v>
      </x:c>
      <x:c r="Y103" s="32" t="str">
        <x:v>Guayaquil y Chile</x:v>
      </x:c>
      <x:c r="Z103" s="22" t="n">
        <x:v>45816</x:v>
      </x:c>
      <x:c r="AA103" t="str">
        <x:v>Recibido</x:v>
      </x:c>
      <x:c r="AB103" t="str">
        <x:v>15 días crédito</x:v>
      </x:c>
      <x:c r="AC103" s="32" t="str">
        <x:v>Entrega coordinada fuera de horario regular</x:v>
      </x:c>
    </x:row>
    <x:row r="104">
      <x:c r="A104" t="n">
        <x:v>103</x:v>
      </x:c>
      <x:c r="B104" s="22" t="n">
        <x:v>45840</x:v>
      </x:c>
      <x:c r="C104" t="str">
        <x:v>OC-2025-0103</x:v>
      </x:c>
      <x:c r="D104" t="str">
        <x:v>F-D004-202507-9989</x:v>
      </x:c>
      <x:c r="E104" t="str">
        <x:v>L2507-011-0103</x:v>
      </x:c>
      <x:c r="F104" t="str">
        <x:v>D004</x:v>
      </x:c>
      <x:c r="G104" s="32" t="str">
        <x:v>Distribuidora Salud Total</x:v>
      </x:c>
      <x:c r="H104" t="str">
        <x:v>MED011</x:v>
      </x:c>
      <x:c r="I104" s="32" t="str">
        <x:v>Jarabe antigripal</x:v>
      </x:c>
      <x:c r="J104" s="32" t="str">
        <x:v>Antigripales</x:v>
      </x:c>
      <x:c r="K104" s="32" t="str">
        <x:v>MEDICAMENTA</x:v>
      </x:c>
      <x:c r="L104" s="32" t="str">
        <x:v>Frasco 120 ml</x:v>
      </x:c>
      <x:c r="M104" s="28" t="n">
        <x:v>6</x:v>
      </x:c>
      <x:c r="N104" s="28" t="n">
        <x:v>10</x:v>
      </x:c>
      <x:c r="O104" s="28" t="n">
        <x:f>M104*N104</x:f>
        <x:v>60</x:v>
      </x:c>
      <x:c r="P104" s="24" t="n">
        <x:v>2.68</x:v>
      </x:c>
      <x:c r="Q104" s="26" t="n">
        <x:v>0.09871068078559268</x:v>
      </x:c>
      <x:c r="R104" s="24" t="n">
        <x:f>O104*P104*Q104</x:f>
        <x:v>15.872677470323305</x:v>
      </x:c>
      <x:c r="S104" s="24" t="n">
        <x:f>P104*(1-Q104)</x:f>
        <x:v>2.415455375494612</x:v>
      </x:c>
      <x:c r="T104" s="24" t="n">
        <x:f>O104*S104</x:f>
        <x:v>144.92732252967673</x:v>
      </x:c>
      <x:c r="U104" t="str">
        <x:v>NORTE</x:v>
      </x:c>
      <x:c r="V104" t="str">
        <x:v>Farmacia Norte</x:v>
      </x:c>
      <x:c r="W104" t="str">
        <x:v>Zona Norte</x:v>
      </x:c>
      <x:c r="X104" t="str">
        <x:v>Quito</x:v>
      </x:c>
      <x:c r="Y104" s="32" t="str">
        <x:v>Av. 10 de Agosto N45-20</x:v>
      </x:c>
      <x:c r="Z104" s="22" t="n">
        <x:v>45845</x:v>
      </x:c>
      <x:c r="AA104" t="str">
        <x:v>Recibido</x:v>
      </x:c>
      <x:c r="AB104" t="str">
        <x:v>45 días crédito</x:v>
      </x:c>
      <x:c r="AC104" s="32" t="str"/>
    </x:row>
    <x:row r="105">
      <x:c r="A105" t="n">
        <x:v>104</x:v>
      </x:c>
      <x:c r="B105" s="22" t="n">
        <x:v>45913</x:v>
      </x:c>
      <x:c r="C105" t="str">
        <x:v>OC-2025-0104</x:v>
      </x:c>
      <x:c r="D105" t="str">
        <x:v>F-D002-202509-5539</x:v>
      </x:c>
      <x:c r="E105" t="str">
        <x:v>L2509-006-0104</x:v>
      </x:c>
      <x:c r="F105" t="str">
        <x:v>D002</x:v>
      </x:c>
      <x:c r="G105" s="32" t="str">
        <x:v>MedSupply Ecuador Cía. Ltda.</x:v>
      </x:c>
      <x:c r="H105" t="str">
        <x:v>MED006</x:v>
      </x:c>
      <x:c r="I105" s="32" t="str">
        <x:v>Vitamina C 1 g</x:v>
      </x:c>
      <x:c r="J105" s="32" t="str">
        <x:v>Vitaminas</x:v>
      </x:c>
      <x:c r="K105" s="32" t="str">
        <x:v>Novartis</x:v>
      </x:c>
      <x:c r="L105" s="32" t="str">
        <x:v>Tubo x 10 efervescentes</x:v>
      </x:c>
      <x:c r="M105" s="28" t="n">
        <x:v>2</x:v>
      </x:c>
      <x:c r="N105" s="28" t="n">
        <x:v>50</x:v>
      </x:c>
      <x:c r="O105" s="28" t="n">
        <x:f>M105*N105</x:f>
        <x:v>100</x:v>
      </x:c>
      <x:c r="P105" s="24" t="n">
        <x:v>2.33</x:v>
      </x:c>
      <x:c r="Q105" s="26" t="n">
        <x:v>0.05653841244130567</x:v>
      </x:c>
      <x:c r="R105" s="24" t="n">
        <x:f>O105*P105*Q105</x:f>
        <x:v>13.17345009882422</x:v>
      </x:c>
      <x:c r="S105" s="24" t="n">
        <x:f>P105*(1-Q105)</x:f>
        <x:v>2.198265499011758</x:v>
      </x:c>
      <x:c r="T105" s="24" t="n">
        <x:f>O105*S105</x:f>
        <x:v>219.82654990117578</x:v>
      </x:c>
      <x:c r="U105" t="str">
        <x:v>NORTE</x:v>
      </x:c>
      <x:c r="V105" t="str">
        <x:v>Farmacia Norte</x:v>
      </x:c>
      <x:c r="W105" t="str">
        <x:v>Zona Norte</x:v>
      </x:c>
      <x:c r="X105" t="str">
        <x:v>Quito</x:v>
      </x:c>
      <x:c r="Y105" s="32" t="str">
        <x:v>Av. 10 de Agosto N45-20</x:v>
      </x:c>
      <x:c r="Z105" s="22" t="n">
        <x:v>45918</x:v>
      </x:c>
      <x:c r="AA105" t="str">
        <x:v>Recibido</x:v>
      </x:c>
      <x:c r="AB105" t="str">
        <x:v>15 días crédito</x:v>
      </x:c>
      <x:c r="AC105" s="32" t="str"/>
    </x:row>
    <x:row r="106">
      <x:c r="A106" t="n">
        <x:v>105</x:v>
      </x:c>
      <x:c r="B106" s="22" t="n">
        <x:v>45990</x:v>
      </x:c>
      <x:c r="C106" t="str">
        <x:v>OC-2025-0105</x:v>
      </x:c>
      <x:c r="D106" t="str">
        <x:v>F-D005-202511-1963</x:v>
      </x:c>
      <x:c r="E106" t="str">
        <x:v>L2511-001-0105</x:v>
      </x:c>
      <x:c r="F106" t="str">
        <x:v>D005</x:v>
      </x:c>
      <x:c r="G106" s="32" t="str">
        <x:v>PharmaExpress Quito</x:v>
      </x:c>
      <x:c r="H106" t="str">
        <x:v>MED001</x:v>
      </x:c>
      <x:c r="I106" s="32" t="str">
        <x:v>Paracetamol 500 mg</x:v>
      </x:c>
      <x:c r="J106" s="32" t="str">
        <x:v>Analgésicos</x:v>
      </x:c>
      <x:c r="K106" s="32" t="str">
        <x:v>Genfar</x:v>
      </x:c>
      <x:c r="L106" s="32" t="str">
        <x:v>Caja x 20 tabletas</x:v>
      </x:c>
      <x:c r="M106" s="28" t="n">
        <x:v>10</x:v>
      </x:c>
      <x:c r="N106" s="28" t="n">
        <x:v>50</x:v>
      </x:c>
      <x:c r="O106" s="28" t="n">
        <x:f>M106*N106</x:f>
        <x:v>500</x:v>
      </x:c>
      <x:c r="P106" s="24" t="n">
        <x:v>0.87</x:v>
      </x:c>
      <x:c r="Q106" s="26" t="n">
        <x:v>0.10866304140235492</x:v>
      </x:c>
      <x:c r="R106" s="24" t="n">
        <x:f>O106*P106*Q106</x:f>
        <x:v>47.268423010024385</x:v>
      </x:c>
      <x:c r="S106" s="24" t="n">
        <x:f>P106*(1-Q106)</x:f>
        <x:v>0.7754631539799512</x:v>
      </x:c>
      <x:c r="T106" s="24" t="n">
        <x:f>O106*S106</x:f>
        <x:v>387.7315769899756</x:v>
      </x:c>
      <x:c r="U106" t="str">
        <x:v>NORTE</x:v>
      </x:c>
      <x:c r="V106" t="str">
        <x:v>Farmacia Norte</x:v>
      </x:c>
      <x:c r="W106" t="str">
        <x:v>Zona Norte</x:v>
      </x:c>
      <x:c r="X106" t="str">
        <x:v>Quito</x:v>
      </x:c>
      <x:c r="Y106" s="32" t="str">
        <x:v>Av. 10 de Agosto N45-20</x:v>
      </x:c>
      <x:c r="Z106" s="22" t="n">
        <x:v>45992</x:v>
      </x:c>
      <x:c r="AA106" t="str">
        <x:v>Recibido</x:v>
      </x:c>
      <x:c r="AB106" t="str">
        <x:v>30 días crédito</x:v>
      </x:c>
      <x:c r="AC106" s="32" t="str"/>
    </x:row>
    <x:row r="107">
      <x:c r="A107" t="n">
        <x:v>106</x:v>
      </x:c>
      <x:c r="B107" s="22" t="n">
        <x:v>45968</x:v>
      </x:c>
      <x:c r="C107" t="str">
        <x:v>OC-2025-0106</x:v>
      </x:c>
      <x:c r="D107" t="str">
        <x:v>F-D001-202511-1184</x:v>
      </x:c>
      <x:c r="E107" t="str">
        <x:v>L2511-005-0106</x:v>
      </x:c>
      <x:c r="F107" t="str">
        <x:v>D001</x:v>
      </x:c>
      <x:c r="G107" s="32" t="str">
        <x:v>DistriFarma Andina S.A.</x:v>
      </x:c>
      <x:c r="H107" t="str">
        <x:v>MED005</x:v>
      </x:c>
      <x:c r="I107" s="32" t="str">
        <x:v>Loratadina 10 mg</x:v>
      </x:c>
      <x:c r="J107" s="32" t="str">
        <x:v>Antigripales</x:v>
      </x:c>
      <x:c r="K107" s="32" t="str">
        <x:v>Genfar</x:v>
      </x:c>
      <x:c r="L107" s="32" t="str">
        <x:v>Caja x 10 tabletas</x:v>
      </x:c>
      <x:c r="M107" s="28" t="n">
        <x:v>5</x:v>
      </x:c>
      <x:c r="N107" s="28" t="n">
        <x:v>24</x:v>
      </x:c>
      <x:c r="O107" s="28" t="n">
        <x:f>M107*N107</x:f>
        <x:v>120</x:v>
      </x:c>
      <x:c r="P107" s="24" t="n">
        <x:v>0.92</x:v>
      </x:c>
      <x:c r="Q107" s="26" t="n">
        <x:v>0.10637045821340967</x:v>
      </x:c>
      <x:c r="R107" s="24" t="n">
        <x:f>O107*P107*Q107</x:f>
        <x:v>11.743298586760428</x:v>
      </x:c>
      <x:c r="S107" s="24" t="n">
        <x:f>P107*(1-Q107)</x:f>
        <x:v>0.8221391784436631</x:v>
      </x:c>
      <x:c r="T107" s="24" t="n">
        <x:f>O107*S107</x:f>
        <x:v>98.65670141323957</x:v>
      </x:c>
      <x:c r="U107" t="str">
        <x:v>NORTE</x:v>
      </x:c>
      <x:c r="V107" t="str">
        <x:v>Farmacia Norte</x:v>
      </x:c>
      <x:c r="W107" t="str">
        <x:v>Zona Norte</x:v>
      </x:c>
      <x:c r="X107" t="str">
        <x:v>Quito</x:v>
      </x:c>
      <x:c r="Y107" s="32" t="str">
        <x:v>Av. 10 de Agosto N45-20</x:v>
      </x:c>
      <x:c r="Z107" s="22" t="n">
        <x:v>45970</x:v>
      </x:c>
      <x:c r="AA107" t="str">
        <x:v>Recibido</x:v>
      </x:c>
      <x:c r="AB107" t="str">
        <x:v>30 días crédito</x:v>
      </x:c>
      <x:c r="AC107" s="32" t="str">
        <x:v>Entrega coordinada fuera de horario regular</x:v>
      </x:c>
    </x:row>
    <x:row r="108">
      <x:c r="A108" t="n">
        <x:v>107</x:v>
      </x:c>
      <x:c r="B108" s="22" t="n">
        <x:v>45932</x:v>
      </x:c>
      <x:c r="C108" t="str">
        <x:v>OC-2025-0107</x:v>
      </x:c>
      <x:c r="D108" t="str">
        <x:v>F-D001-202510-4239</x:v>
      </x:c>
      <x:c r="E108" t="str">
        <x:v>L2510-005-0107</x:v>
      </x:c>
      <x:c r="F108" t="str">
        <x:v>D001</x:v>
      </x:c>
      <x:c r="G108" s="32" t="str">
        <x:v>DistriFarma Andina S.A.</x:v>
      </x:c>
      <x:c r="H108" t="str">
        <x:v>MED005</x:v>
      </x:c>
      <x:c r="I108" s="32" t="str">
        <x:v>Loratadina 10 mg</x:v>
      </x:c>
      <x:c r="J108" s="32" t="str">
        <x:v>Antigripales</x:v>
      </x:c>
      <x:c r="K108" s="32" t="str">
        <x:v>Genfar</x:v>
      </x:c>
      <x:c r="L108" s="32" t="str">
        <x:v>Caja x 10 tabletas</x:v>
      </x:c>
      <x:c r="M108" s="28" t="n">
        <x:v>16</x:v>
      </x:c>
      <x:c r="N108" s="28" t="n">
        <x:v>30</x:v>
      </x:c>
      <x:c r="O108" s="28" t="n">
        <x:f>M108*N108</x:f>
        <x:v>480</x:v>
      </x:c>
      <x:c r="P108" s="24" t="n">
        <x:v>1.09</x:v>
      </x:c>
      <x:c r="Q108" s="26" t="n">
        <x:v>0.08123810231913103</x:v>
      </x:c>
      <x:c r="R108" s="24" t="n">
        <x:f>O108*P108*Q108</x:f>
        <x:v>42.50377513336936</x:v>
      </x:c>
      <x:c r="S108" s="24" t="n">
        <x:f>P108*(1-Q108)</x:f>
        <x:v>1.0014504684721472</x:v>
      </x:c>
      <x:c r="T108" s="24" t="n">
        <x:f>O108*S108</x:f>
        <x:v>480.6962248666307</x:v>
      </x:c>
      <x:c r="U108" t="str">
        <x:v>SUR</x:v>
      </x:c>
      <x:c r="V108" t="str">
        <x:v>Farmacia del Sur</x:v>
      </x:c>
      <x:c r="W108" t="str">
        <x:v>Zona Sur</x:v>
      </x:c>
      <x:c r="X108" t="str">
        <x:v>Quito</x:v>
      </x:c>
      <x:c r="Y108" s="32" t="str">
        <x:v>Av. Maldonado S25-10</x:v>
      </x:c>
      <x:c r="Z108" s="22" t="n">
        <x:v>45933</x:v>
      </x:c>
      <x:c r="AA108" t="str">
        <x:v>Recibido</x:v>
      </x:c>
      <x:c r="AB108" t="str">
        <x:v>30 días crédito</x:v>
      </x:c>
      <x:c r="AC108" s="32" t="str"/>
    </x:row>
    <x:row r="109">
      <x:c r="A109" t="n">
        <x:v>108</x:v>
      </x:c>
      <x:c r="B109" s="22" t="n">
        <x:v>45775</x:v>
      </x:c>
      <x:c r="C109" t="str">
        <x:v>OC-2025-0108</x:v>
      </x:c>
      <x:c r="D109" t="str">
        <x:v>F-D003-202504-6844</x:v>
      </x:c>
      <x:c r="E109" t="str">
        <x:v>L2504-001-0108</x:v>
      </x:c>
      <x:c r="F109" t="str">
        <x:v>D003</x:v>
      </x:c>
      <x:c r="G109" s="32" t="str">
        <x:v>FarmaLogística Sierra</x:v>
      </x:c>
      <x:c r="H109" t="str">
        <x:v>MED001</x:v>
      </x:c>
      <x:c r="I109" s="32" t="str">
        <x:v>Paracetamol 500 mg</x:v>
      </x:c>
      <x:c r="J109" s="32" t="str">
        <x:v>Analgésicos</x:v>
      </x:c>
      <x:c r="K109" s="32" t="str">
        <x:v>Genfar</x:v>
      </x:c>
      <x:c r="L109" s="32" t="str">
        <x:v>Caja x 20 tabletas</x:v>
      </x:c>
      <x:c r="M109" s="28" t="n">
        <x:v>2</x:v>
      </x:c>
      <x:c r="N109" s="28" t="n">
        <x:v>60</x:v>
      </x:c>
      <x:c r="O109" s="28" t="n">
        <x:f>M109*N109</x:f>
        <x:v>120</x:v>
      </x:c>
      <x:c r="P109" s="24" t="n">
        <x:v>0.85</x:v>
      </x:c>
      <x:c r="Q109" s="26" t="n">
        <x:v>0.04138010322121117</x:v>
      </x:c>
      <x:c r="R109" s="24" t="n">
        <x:f>O109*P109*Q109</x:f>
        <x:v>4.2207705285635395</x:v>
      </x:c>
      <x:c r="S109" s="24" t="n">
        <x:f>P109*(1-Q109)</x:f>
        <x:v>0.8148269122619705</x:v>
      </x:c>
      <x:c r="T109" s="24" t="n">
        <x:f>O109*S109</x:f>
        <x:v>97.77922947143645</x:v>
      </x:c>
      <x:c r="U109" t="str">
        <x:v>NORTE</x:v>
      </x:c>
      <x:c r="V109" t="str">
        <x:v>Farmacia Norte</x:v>
      </x:c>
      <x:c r="W109" t="str">
        <x:v>Zona Norte</x:v>
      </x:c>
      <x:c r="X109" t="str">
        <x:v>Quito</x:v>
      </x:c>
      <x:c r="Y109" s="32" t="str">
        <x:v>Av. 10 de Agosto N45-20</x:v>
      </x:c>
      <x:c r="Z109" s="22" t="n">
        <x:v>45777</x:v>
      </x:c>
      <x:c r="AA109" t="str">
        <x:v>Recibido</x:v>
      </x:c>
      <x:c r="AB109" t="str">
        <x:v>Contado contra entrega</x:v>
      </x:c>
      <x:c r="AC109" s="32" t="str"/>
    </x:row>
    <x:row r="110">
      <x:c r="A110" t="n">
        <x:v>109</x:v>
      </x:c>
      <x:c r="B110" s="22" t="n">
        <x:v>46131</x:v>
      </x:c>
      <x:c r="C110" t="str">
        <x:v>OC-2026-0109</x:v>
      </x:c>
      <x:c r="D110" t="str">
        <x:v>F-D008-202604-7453</x:v>
      </x:c>
      <x:c r="E110" t="str">
        <x:v>L2604-007-0109</x:v>
      </x:c>
      <x:c r="F110" t="str">
        <x:v>D008</x:v>
      </x:c>
      <x:c r="G110" s="32" t="str">
        <x:v>Mayorista MedicPlus</x:v>
      </x:c>
      <x:c r="H110" t="str">
        <x:v>MED007</x:v>
      </x:c>
      <x:c r="I110" s="32" t="str">
        <x:v>Omeprazol 20 mg</x:v>
      </x:c>
      <x:c r="J110" s="32" t="str">
        <x:v>Gastrointestinales</x:v>
      </x:c>
      <x:c r="K110" s="32" t="str">
        <x:v>La Santé</x:v>
      </x:c>
      <x:c r="L110" s="32" t="str">
        <x:v>Caja x 30 cápsulas</x:v>
      </x:c>
      <x:c r="M110" s="28" t="n">
        <x:v>72</x:v>
      </x:c>
      <x:c r="N110" s="28" t="n">
        <x:v>10</x:v>
      </x:c>
      <x:c r="O110" s="28" t="n">
        <x:f>M110*N110</x:f>
        <x:v>720</x:v>
      </x:c>
      <x:c r="P110" s="24" t="n">
        <x:v>3.22</x:v>
      </x:c>
      <x:c r="Q110" s="26" t="n">
        <x:v>0.12288574126856194</x:v>
      </x:c>
      <x:c r="R110" s="24" t="n">
        <x:f>O110*P110*Q110</x:f>
        <x:v>284.898302557034</x:v>
      </x:c>
      <x:c r="S110" s="24" t="n">
        <x:f>P110*(1-Q110)</x:f>
        <x:v>2.8243079131152307</x:v>
      </x:c>
      <x:c r="T110" s="24" t="n">
        <x:f>O110*S110</x:f>
        <x:v>2033.5016974429661</x:v>
      </x:c>
      <x:c r="U110" t="str">
        <x:v>SUR</x:v>
      </x:c>
      <x:c r="V110" t="str">
        <x:v>Farmacia del Sur</x:v>
      </x:c>
      <x:c r="W110" t="str">
        <x:v>Zona Sur</x:v>
      </x:c>
      <x:c r="X110" t="str">
        <x:v>Quito</x:v>
      </x:c>
      <x:c r="Y110" s="32" t="str">
        <x:v>Av. Maldonado S25-10</x:v>
      </x:c>
      <x:c r="Z110" s="22" t="n">
        <x:v>46135</x:v>
      </x:c>
      <x:c r="AA110" t="str">
        <x:v>Recibido</x:v>
      </x:c>
      <x:c r="AB110" t="str">
        <x:v>30 días crédito</x:v>
      </x:c>
      <x:c r="AC110" s="32" t="str"/>
    </x:row>
    <x:row r="111">
      <x:c r="A111" t="n">
        <x:v>110</x:v>
      </x:c>
      <x:c r="B111" s="22" t="n">
        <x:v>46265</x:v>
      </x:c>
      <x:c r="C111" t="str">
        <x:v>OC-2026-0110</x:v>
      </x:c>
      <x:c r="D111" t="str">
        <x:v>F-D005-202608-3890</x:v>
      </x:c>
      <x:c r="E111" t="str">
        <x:v>L2608-008-0110</x:v>
      </x:c>
      <x:c r="F111" t="str">
        <x:v>D005</x:v>
      </x:c>
      <x:c r="G111" s="32" t="str">
        <x:v>PharmaExpress Quito</x:v>
      </x:c>
      <x:c r="H111" t="str">
        <x:v>MED008</x:v>
      </x:c>
      <x:c r="I111" s="32" t="str">
        <x:v>Diclofenaco gel</x:v>
      </x:c>
      <x:c r="J111" s="32" t="str">
        <x:v>Dermatológicos</x:v>
      </x:c>
      <x:c r="K111" s="32" t="str">
        <x:v>Bayer</x:v>
      </x:c>
      <x:c r="L111" s="32" t="str">
        <x:v>Tubo 50 g</x:v>
      </x:c>
      <x:c r="M111" s="28" t="n">
        <x:v>12</x:v>
      </x:c>
      <x:c r="N111" s="28" t="n">
        <x:v>30</x:v>
      </x:c>
      <x:c r="O111" s="28" t="n">
        <x:f>M111*N111</x:f>
        <x:v>360</x:v>
      </x:c>
      <x:c r="P111" s="24" t="n">
        <x:v>2.14</x:v>
      </x:c>
      <x:c r="Q111" s="26" t="n">
        <x:v>0.07028993714603092</x:v>
      </x:c>
      <x:c r="R111" s="24" t="n">
        <x:f>O111*P111*Q111</x:f>
        <x:v>54.151367577302224</x:v>
      </x:c>
      <x:c r="S111" s="24" t="n">
        <x:f>P111*(1-Q111)</x:f>
        <x:v>1.9895795345074938</x:v>
      </x:c>
      <x:c r="T111" s="24" t="n">
        <x:f>O111*S111</x:f>
        <x:v>716.2486324226978</x:v>
      </x:c>
      <x:c r="U111" t="str">
        <x:v>VALLE</x:v>
      </x:c>
      <x:c r="V111" t="str">
        <x:v>Farmacia Valle de los Chillos</x:v>
      </x:c>
      <x:c r="W111" t="str">
        <x:v>Zona Valle</x:v>
      </x:c>
      <x:c r="X111" t="str">
        <x:v>Sangolquí</x:v>
      </x:c>
      <x:c r="Y111" s="32" t="str">
        <x:v>Av. Calderón 101</x:v>
      </x:c>
      <x:c r="Z111" s="22" t="n">
        <x:v>46268</x:v>
      </x:c>
      <x:c r="AA111" t="str">
        <x:v>Recibido</x:v>
      </x:c>
      <x:c r="AB111" t="str">
        <x:v>30 días crédito</x:v>
      </x:c>
      <x:c r="AC111" s="32" t="str"/>
    </x:row>
    <x:row r="112">
      <x:c r="A112" t="n">
        <x:v>111</x:v>
      </x:c>
      <x:c r="B112" s="22" t="n">
        <x:v>46072</x:v>
      </x:c>
      <x:c r="C112" t="str">
        <x:v>OC-2026-0111</x:v>
      </x:c>
      <x:c r="D112" t="str">
        <x:v>F-D008-202602-2364</x:v>
      </x:c>
      <x:c r="E112" t="str">
        <x:v>L2602-009-0111</x:v>
      </x:c>
      <x:c r="F112" t="str">
        <x:v>D008</x:v>
      </x:c>
      <x:c r="G112" s="32" t="str">
        <x:v>Mayorista MedicPlus</x:v>
      </x:c>
      <x:c r="H112" t="str">
        <x:v>MED009</x:v>
      </x:c>
      <x:c r="I112" s="32" t="str">
        <x:v>Losartán 50 mg</x:v>
      </x:c>
      <x:c r="J112" s="32" t="str">
        <x:v>Cardiovasculares</x:v>
      </x:c>
      <x:c r="K112" s="32" t="str">
        <x:v>Laboratorios Bagó</x:v>
      </x:c>
      <x:c r="L112" s="32" t="str">
        <x:v>Caja x 30 tabletas</x:v>
      </x:c>
      <x:c r="M112" s="28" t="n">
        <x:v>2</x:v>
      </x:c>
      <x:c r="N112" s="28" t="n">
        <x:v>50</x:v>
      </x:c>
      <x:c r="O112" s="28" t="n">
        <x:f>M112*N112</x:f>
        <x:v>100</x:v>
      </x:c>
      <x:c r="P112" s="24" t="n">
        <x:v>3.13</x:v>
      </x:c>
      <x:c r="Q112" s="26" t="n">
        <x:v>0.09240436419940622</x:v>
      </x:c>
      <x:c r="R112" s="24" t="n">
        <x:f>O112*P112*Q112</x:f>
        <x:v>28.922565994414146</x:v>
      </x:c>
      <x:c r="S112" s="24" t="n">
        <x:f>P112*(1-Q112)</x:f>
        <x:v>2.8407743400558583</x:v>
      </x:c>
      <x:c r="T112" s="24" t="n">
        <x:f>O112*S112</x:f>
        <x:v>284.0774340055858</x:v>
      </x:c>
      <x:c r="U112" t="str">
        <x:v>NORTE</x:v>
      </x:c>
      <x:c r="V112" t="str">
        <x:v>Farmacia Norte</x:v>
      </x:c>
      <x:c r="W112" t="str">
        <x:v>Zona Norte</x:v>
      </x:c>
      <x:c r="X112" t="str">
        <x:v>Quito</x:v>
      </x:c>
      <x:c r="Y112" s="32" t="str">
        <x:v>Av. 10 de Agosto N45-20</x:v>
      </x:c>
      <x:c r="Z112" s="22" t="n">
        <x:v>46073</x:v>
      </x:c>
      <x:c r="AA112" t="str">
        <x:v>Recibido</x:v>
      </x:c>
      <x:c r="AB112" t="str">
        <x:v>30 días crédito</x:v>
      </x:c>
      <x:c r="AC112" s="32" t="str"/>
    </x:row>
    <x:row r="113">
      <x:c r="A113" t="n">
        <x:v>112</x:v>
      </x:c>
      <x:c r="B113" s="22" t="n">
        <x:v>46139</x:v>
      </x:c>
      <x:c r="C113" t="str">
        <x:v>OC-2026-0112</x:v>
      </x:c>
      <x:c r="D113" t="str">
        <x:v>F-D007-202604-3754</x:v>
      </x:c>
      <x:c r="E113" t="str">
        <x:v>L2604-003-0112</x:v>
      </x:c>
      <x:c r="F113" t="str">
        <x:v>D007</x:v>
      </x:c>
      <x:c r="G113" s="32" t="str">
        <x:v>Comercializadora BioFarma</x:v>
      </x:c>
      <x:c r="H113" t="str">
        <x:v>MED003</x:v>
      </x:c>
      <x:c r="I113" s="32" t="str">
        <x:v>Amoxicilina 500 mg</x:v>
      </x:c>
      <x:c r="J113" s="32" t="str">
        <x:v>Antibióticos</x:v>
      </x:c>
      <x:c r="K113" s="32" t="str">
        <x:v>Acromax</x:v>
      </x:c>
      <x:c r="L113" s="32" t="str">
        <x:v>Caja x 21 cápsulas</x:v>
      </x:c>
      <x:c r="M113" s="28" t="n">
        <x:v>13</x:v>
      </x:c>
      <x:c r="N113" s="28" t="n">
        <x:v>24</x:v>
      </x:c>
      <x:c r="O113" s="28" t="n">
        <x:f>M113*N113</x:f>
        <x:v>312</x:v>
      </x:c>
      <x:c r="P113" s="24" t="n">
        <x:v>3.78</x:v>
      </x:c>
      <x:c r="Q113" s="26" t="n">
        <x:v>0.027618349724925845</x:v>
      </x:c>
      <x:c r="R113" s="24" t="n">
        <x:f>O113*P113*Q113</x:f>
        <x:v>32.571976931588544</x:v>
      </x:c>
      <x:c r="S113" s="24" t="n">
        <x:f>P113*(1-Q113)</x:f>
        <x:v>3.67560263803978</x:v>
      </x:c>
      <x:c r="T113" s="24" t="n">
        <x:f>O113*S113</x:f>
        <x:v>1146.7880230684113</x:v>
      </x:c>
      <x:c r="U113" t="str">
        <x:v>SUR</x:v>
      </x:c>
      <x:c r="V113" t="str">
        <x:v>Farmacia del Sur</x:v>
      </x:c>
      <x:c r="W113" t="str">
        <x:v>Zona Sur</x:v>
      </x:c>
      <x:c r="X113" t="str">
        <x:v>Quito</x:v>
      </x:c>
      <x:c r="Y113" s="32" t="str">
        <x:v>Av. Maldonado S25-10</x:v>
      </x:c>
      <x:c r="Z113" s="22" t="n">
        <x:v>46144</x:v>
      </x:c>
      <x:c r="AA113" t="str">
        <x:v>Recibido</x:v>
      </x:c>
      <x:c r="AB113" t="str">
        <x:v>15 días crédito</x:v>
      </x:c>
      <x:c r="AC113" s="32" t="str">
        <x:v>Entrega coordinada fuera de horario regular</x:v>
      </x:c>
    </x:row>
    <x:row r="114">
      <x:c r="A114" t="n">
        <x:v>113</x:v>
      </x:c>
      <x:c r="B114" s="22" t="n">
        <x:v>45823</x:v>
      </x:c>
      <x:c r="C114" t="str">
        <x:v>OC-2025-0113</x:v>
      </x:c>
      <x:c r="D114" t="str">
        <x:v>F-D007-202506-1011</x:v>
      </x:c>
      <x:c r="E114" t="str">
        <x:v>L2506-011-0113</x:v>
      </x:c>
      <x:c r="F114" t="str">
        <x:v>D007</x:v>
      </x:c>
      <x:c r="G114" s="32" t="str">
        <x:v>Comercializadora BioFarma</x:v>
      </x:c>
      <x:c r="H114" t="str">
        <x:v>MED011</x:v>
      </x:c>
      <x:c r="I114" s="32" t="str">
        <x:v>Jarabe antigripal</x:v>
      </x:c>
      <x:c r="J114" s="32" t="str">
        <x:v>Antigripales</x:v>
      </x:c>
      <x:c r="K114" s="32" t="str">
        <x:v>MEDICAMENTA</x:v>
      </x:c>
      <x:c r="L114" s="32" t="str">
        <x:v>Frasco 120 ml</x:v>
      </x:c>
      <x:c r="M114" s="28" t="n">
        <x:v>6</x:v>
      </x:c>
      <x:c r="N114" s="28" t="n">
        <x:v>20</x:v>
      </x:c>
      <x:c r="O114" s="28" t="n">
        <x:f>M114*N114</x:f>
        <x:v>120</x:v>
      </x:c>
      <x:c r="P114" s="24" t="n">
        <x:v>2.86</x:v>
      </x:c>
      <x:c r="Q114" s="26" t="n">
        <x:v>0.05291842173888832</x:v>
      </x:c>
      <x:c r="R114" s="24" t="n">
        <x:f>O114*P114*Q114</x:f>
        <x:v>18.16160234078647</x:v>
      </x:c>
      <x:c r="S114" s="24" t="n">
        <x:f>P114*(1-Q114)</x:f>
        <x:v>2.708653313826779</x:v>
      </x:c>
      <x:c r="T114" s="24" t="n">
        <x:f>O114*S114</x:f>
        <x:v>325.0383976592135</x:v>
      </x:c>
      <x:c r="U114" t="str">
        <x:v>SUR</x:v>
      </x:c>
      <x:c r="V114" t="str">
        <x:v>Farmacia del Sur</x:v>
      </x:c>
      <x:c r="W114" t="str">
        <x:v>Zona Sur</x:v>
      </x:c>
      <x:c r="X114" t="str">
        <x:v>Quito</x:v>
      </x:c>
      <x:c r="Y114" s="32" t="str">
        <x:v>Av. Maldonado S25-10</x:v>
      </x:c>
      <x:c r="Z114" s="22" t="n">
        <x:v>45826</x:v>
      </x:c>
      <x:c r="AA114" t="str">
        <x:v>Recibido</x:v>
      </x:c>
      <x:c r="AB114" t="str">
        <x:v>15 días crédito</x:v>
      </x:c>
      <x:c r="AC114" s="32" t="str"/>
    </x:row>
    <x:row r="115">
      <x:c r="A115" t="n">
        <x:v>114</x:v>
      </x:c>
      <x:c r="B115" s="22" t="n">
        <x:v>45829</x:v>
      </x:c>
      <x:c r="C115" t="str">
        <x:v>OC-2025-0114</x:v>
      </x:c>
      <x:c r="D115" t="str">
        <x:v>F-D001-202506-2664</x:v>
      </x:c>
      <x:c r="E115" t="str">
        <x:v>L2506-001-0114</x:v>
      </x:c>
      <x:c r="F115" t="str">
        <x:v>D001</x:v>
      </x:c>
      <x:c r="G115" s="32" t="str">
        <x:v>DistriFarma Andina S.A.</x:v>
      </x:c>
      <x:c r="H115" t="str">
        <x:v>MED001</x:v>
      </x:c>
      <x:c r="I115" s="32" t="str">
        <x:v>Paracetamol 500 mg</x:v>
      </x:c>
      <x:c r="J115" s="32" t="str">
        <x:v>Analgésicos</x:v>
      </x:c>
      <x:c r="K115" s="32" t="str">
        <x:v>Genfar</x:v>
      </x:c>
      <x:c r="L115" s="32" t="str">
        <x:v>Caja x 20 tabletas</x:v>
      </x:c>
      <x:c r="M115" s="28" t="n">
        <x:v>6</x:v>
      </x:c>
      <x:c r="N115" s="28" t="n">
        <x:v>30</x:v>
      </x:c>
      <x:c r="O115" s="28" t="n">
        <x:f>M115*N115</x:f>
        <x:v>180</x:v>
      </x:c>
      <x:c r="P115" s="24" t="n">
        <x:v>0.89</x:v>
      </x:c>
      <x:c r="Q115" s="26" t="n">
        <x:v>0.10355199846847779</x:v>
      </x:c>
      <x:c r="R115" s="24" t="n">
        <x:f>O115*P115*Q115</x:f>
        <x:v>16.589030154650143</x:v>
      </x:c>
      <x:c r="S115" s="24" t="n">
        <x:f>P115*(1-Q115)</x:f>
        <x:v>0.7978387213630548</x:v>
      </x:c>
      <x:c r="T115" s="24" t="n">
        <x:f>O115*S115</x:f>
        <x:v>143.61096984534987</x:v>
      </x:c>
      <x:c r="U115" t="str">
        <x:v>NORTE</x:v>
      </x:c>
      <x:c r="V115" t="str">
        <x:v>Farmacia Norte</x:v>
      </x:c>
      <x:c r="W115" t="str">
        <x:v>Zona Norte</x:v>
      </x:c>
      <x:c r="X115" t="str">
        <x:v>Quito</x:v>
      </x:c>
      <x:c r="Y115" s="32" t="str">
        <x:v>Av. 10 de Agosto N45-20</x:v>
      </x:c>
      <x:c r="Z115" s="22" t="n">
        <x:v>45834</x:v>
      </x:c>
      <x:c r="AA115" t="str">
        <x:v>Recibido</x:v>
      </x:c>
      <x:c r="AB115" t="str">
        <x:v>30 días crédito</x:v>
      </x:c>
      <x:c r="AC115" s="32" t="str"/>
    </x:row>
    <x:row r="116">
      <x:c r="A116" t="n">
        <x:v>115</x:v>
      </x:c>
      <x:c r="B116" s="22" t="n">
        <x:v>46290</x:v>
      </x:c>
      <x:c r="C116" t="str">
        <x:v>OC-2026-0115</x:v>
      </x:c>
      <x:c r="D116" t="str">
        <x:v>F-D001-202609-8329</x:v>
      </x:c>
      <x:c r="E116" t="str">
        <x:v>L2609-002-0115</x:v>
      </x:c>
      <x:c r="F116" t="str">
        <x:v>D001</x:v>
      </x:c>
      <x:c r="G116" s="32" t="str">
        <x:v>DistriFarma Andina S.A.</x:v>
      </x:c>
      <x:c r="H116" t="str">
        <x:v>MED002</x:v>
      </x:c>
      <x:c r="I116" s="32" t="str">
        <x:v>Ibuprofeno 400 mg</x:v>
      </x:c>
      <x:c r="J116" s="32" t="str">
        <x:v>Analgésicos</x:v>
      </x:c>
      <x:c r="K116" s="32" t="str">
        <x:v>La Santé</x:v>
      </x:c>
      <x:c r="L116" s="32" t="str">
        <x:v>Caja x 20 tabletas</x:v>
      </x:c>
      <x:c r="M116" s="28" t="n">
        <x:v>4</x:v>
      </x:c>
      <x:c r="N116" s="28" t="n">
        <x:v>30</x:v>
      </x:c>
      <x:c r="O116" s="28" t="n">
        <x:f>M116*N116</x:f>
        <x:v>120</x:v>
      </x:c>
      <x:c r="P116" s="24" t="n">
        <x:v>1.33</x:v>
      </x:c>
      <x:c r="Q116" s="26" t="n">
        <x:v>0.10762498867716713</x:v>
      </x:c>
      <x:c r="R116" s="24" t="n">
        <x:f>O116*P116*Q116</x:f>
        <x:v>17.176948192875876</x:v>
      </x:c>
      <x:c r="S116" s="24" t="n">
        <x:f>P116*(1-Q116)</x:f>
        <x:v>1.1868587650593676</x:v>
      </x:c>
      <x:c r="T116" s="24" t="n">
        <x:f>O116*S116</x:f>
        <x:v>142.42305180712412</x:v>
      </x:c>
      <x:c r="U116" t="str">
        <x:v>SUR</x:v>
      </x:c>
      <x:c r="V116" t="str">
        <x:v>Farmacia del Sur</x:v>
      </x:c>
      <x:c r="W116" t="str">
        <x:v>Zona Sur</x:v>
      </x:c>
      <x:c r="X116" t="str">
        <x:v>Quito</x:v>
      </x:c>
      <x:c r="Y116" s="32" t="str">
        <x:v>Av. Maldonado S25-10</x:v>
      </x:c>
      <x:c r="Z116" s="22" t="n">
        <x:v>46295</x:v>
      </x:c>
      <x:c r="AA116" t="str">
        <x:v>Recibido</x:v>
      </x:c>
      <x:c r="AB116" t="str">
        <x:v>30 días crédito</x:v>
      </x:c>
      <x:c r="AC116" s="32" t="str"/>
    </x:row>
    <x:row r="117">
      <x:c r="A117" t="n">
        <x:v>116</x:v>
      </x:c>
      <x:c r="B117" s="22" t="n">
        <x:v>45822</x:v>
      </x:c>
      <x:c r="C117" t="str">
        <x:v>OC-2025-0116</x:v>
      </x:c>
      <x:c r="D117" t="str">
        <x:v>F-D007-202506-1283</x:v>
      </x:c>
      <x:c r="E117" t="str">
        <x:v>L2506-012-0116</x:v>
      </x:c>
      <x:c r="F117" t="str">
        <x:v>D007</x:v>
      </x:c>
      <x:c r="G117" s="32" t="str">
        <x:v>Comercializadora BioFarma</x:v>
      </x:c>
      <x:c r="H117" t="str">
        <x:v>MED012</x:v>
      </x:c>
      <x:c r="I117" s="32" t="str">
        <x:v>Multivitamínico adulto</x:v>
      </x:c>
      <x:c r="J117" s="32" t="str">
        <x:v>Vitaminas</x:v>
      </x:c>
      <x:c r="K117" s="32" t="str">
        <x:v>Novartis</x:v>
      </x:c>
      <x:c r="L117" s="32" t="str">
        <x:v>Frasco x 30 tabletas</x:v>
      </x:c>
      <x:c r="M117" s="28" t="n">
        <x:v>12</x:v>
      </x:c>
      <x:c r="N117" s="28" t="n">
        <x:v>30</x:v>
      </x:c>
      <x:c r="O117" s="28" t="n">
        <x:f>M117*N117</x:f>
        <x:v>360</x:v>
      </x:c>
      <x:c r="P117" s="24" t="n">
        <x:v>4.69</x:v>
      </x:c>
      <x:c r="Q117" s="26" t="n">
        <x:v>0.07225916833936293</x:v>
      </x:c>
      <x:c r="R117" s="24" t="n">
        <x:f>O117*P117*Q117</x:f>
        <x:v>122.00237982418037</x:v>
      </x:c>
      <x:c r="S117" s="24" t="n">
        <x:f>P117*(1-Q117)</x:f>
        <x:v>4.351104500488388</x:v>
      </x:c>
      <x:c r="T117" s="24" t="n">
        <x:f>O117*S117</x:f>
        <x:v>1566.3976201758196</x:v>
      </x:c>
      <x:c r="U117" t="str">
        <x:v>SUR</x:v>
      </x:c>
      <x:c r="V117" t="str">
        <x:v>Farmacia del Sur</x:v>
      </x:c>
      <x:c r="W117" t="str">
        <x:v>Zona Sur</x:v>
      </x:c>
      <x:c r="X117" t="str">
        <x:v>Quito</x:v>
      </x:c>
      <x:c r="Y117" s="32" t="str">
        <x:v>Av. Maldonado S25-10</x:v>
      </x:c>
      <x:c r="Z117" s="22" t="n">
        <x:v>45823</x:v>
      </x:c>
      <x:c r="AA117" t="str">
        <x:v>Recibido</x:v>
      </x:c>
      <x:c r="AB117" t="str">
        <x:v>15 días crédito</x:v>
      </x:c>
      <x:c r="AC117" s="32" t="str">
        <x:v>Entrega coordinada fuera de horario regular</x:v>
      </x:c>
    </x:row>
    <x:row r="118">
      <x:c r="A118" t="n">
        <x:v>117</x:v>
      </x:c>
      <x:c r="B118" s="22" t="n">
        <x:v>45696</x:v>
      </x:c>
      <x:c r="C118" t="str">
        <x:v>OC-2025-0117</x:v>
      </x:c>
      <x:c r="D118" t="str">
        <x:v>F-D006-202502-5316</x:v>
      </x:c>
      <x:c r="E118" t="str">
        <x:v>L2502-013-0117</x:v>
      </x:c>
      <x:c r="F118" t="str">
        <x:v>D006</x:v>
      </x:c>
      <x:c r="G118" s="32" t="str">
        <x:v>Insumos Médicos del Pacífico</x:v>
      </x:c>
      <x:c r="H118" t="str">
        <x:v>MED013</x:v>
      </x:c>
      <x:c r="I118" s="32" t="str">
        <x:v>Probióticos</x:v>
      </x:c>
      <x:c r="J118" s="32" t="str">
        <x:v>Gastrointestinales</x:v>
      </x:c>
      <x:c r="K118" s="32" t="str">
        <x:v>Laboratorios Bagó</x:v>
      </x:c>
      <x:c r="L118" s="32" t="str">
        <x:v>Caja x 10 sobres</x:v>
      </x:c>
      <x:c r="M118" s="28" t="n">
        <x:v>36</x:v>
      </x:c>
      <x:c r="N118" s="28" t="n">
        <x:v>10</x:v>
      </x:c>
      <x:c r="O118" s="28" t="n">
        <x:f>M118*N118</x:f>
        <x:v>360</x:v>
      </x:c>
      <x:c r="P118" s="24" t="n">
        <x:v>6.27</x:v>
      </x:c>
      <x:c r="Q118" s="26" t="n">
        <x:v>0.12213283624589441</x:v>
      </x:c>
      <x:c r="R118" s="24" t="n">
        <x:f>O118*P118*Q118</x:f>
        <x:v>275.67823797423284</x:v>
      </x:c>
      <x:c r="S118" s="24" t="n">
        <x:f>P118*(1-Q118)</x:f>
        <x:v>5.5042271167382415</x:v>
      </x:c>
      <x:c r="T118" s="24" t="n">
        <x:f>O118*S118</x:f>
        <x:v>1981.521762025767</x:v>
      </x:c>
      <x:c r="U118" t="str">
        <x:v>NORTE</x:v>
      </x:c>
      <x:c r="V118" t="str">
        <x:v>Farmacia Norte</x:v>
      </x:c>
      <x:c r="W118" t="str">
        <x:v>Zona Norte</x:v>
      </x:c>
      <x:c r="X118" t="str">
        <x:v>Quito</x:v>
      </x:c>
      <x:c r="Y118" s="32" t="str">
        <x:v>Av. 10 de Agosto N45-20</x:v>
      </x:c>
      <x:c r="Z118" s="22" t="n">
        <x:v>45701</x:v>
      </x:c>
      <x:c r="AA118" t="str">
        <x:v>Recibido</x:v>
      </x:c>
      <x:c r="AB118" t="str">
        <x:v>60 días crédito</x:v>
      </x:c>
      <x:c r="AC118" s="32" t="str"/>
    </x:row>
    <x:row r="119">
      <x:c r="A119" t="n">
        <x:v>118</x:v>
      </x:c>
      <x:c r="B119" s="22" t="n">
        <x:v>46180</x:v>
      </x:c>
      <x:c r="C119" t="str">
        <x:v>OC-2026-0118</x:v>
      </x:c>
      <x:c r="D119" t="str">
        <x:v>F-D001-202606-1960</x:v>
      </x:c>
      <x:c r="E119" t="str">
        <x:v>L2606-005-0118</x:v>
      </x:c>
      <x:c r="F119" t="str">
        <x:v>D001</x:v>
      </x:c>
      <x:c r="G119" s="32" t="str">
        <x:v>DistriFarma Andina S.A.</x:v>
      </x:c>
      <x:c r="H119" t="str">
        <x:v>MED005</x:v>
      </x:c>
      <x:c r="I119" s="32" t="str">
        <x:v>Loratadina 10 mg</x:v>
      </x:c>
      <x:c r="J119" s="32" t="str">
        <x:v>Antigripales</x:v>
      </x:c>
      <x:c r="K119" s="32" t="str">
        <x:v>Genfar</x:v>
      </x:c>
      <x:c r="L119" s="32" t="str">
        <x:v>Caja x 10 tabletas</x:v>
      </x:c>
      <x:c r="M119" s="28" t="n">
        <x:v>5</x:v>
      </x:c>
      <x:c r="N119" s="28" t="n">
        <x:v>24</x:v>
      </x:c>
      <x:c r="O119" s="28" t="n">
        <x:f>M119*N119</x:f>
        <x:v>120</x:v>
      </x:c>
      <x:c r="P119" s="24" t="n">
        <x:v>1.18</x:v>
      </x:c>
      <x:c r="Q119" s="26" t="n">
        <x:v>0.07343402284124591</x:v>
      </x:c>
      <x:c r="R119" s="24" t="n">
        <x:f>O119*P119*Q119</x:f>
        <x:v>10.39825763432042</x:v>
      </x:c>
      <x:c r="S119" s="24" t="n">
        <x:f>P119*(1-Q119)</x:f>
        <x:v>1.0933478530473297</x:v>
      </x:c>
      <x:c r="T119" s="24" t="n">
        <x:f>O119*S119</x:f>
        <x:v>131.20174236567956</x:v>
      </x:c>
      <x:c r="U119" t="str">
        <x:v>VALLE</x:v>
      </x:c>
      <x:c r="V119" t="str">
        <x:v>Farmacia Valle de los Chillos</x:v>
      </x:c>
      <x:c r="W119" t="str">
        <x:v>Zona Valle</x:v>
      </x:c>
      <x:c r="X119" t="str">
        <x:v>Sangolquí</x:v>
      </x:c>
      <x:c r="Y119" s="32" t="str">
        <x:v>Av. Calderón 101</x:v>
      </x:c>
      <x:c r="Z119" s="22" t="n">
        <x:v>46184</x:v>
      </x:c>
      <x:c r="AA119" t="str">
        <x:v>Recibido</x:v>
      </x:c>
      <x:c r="AB119" t="str">
        <x:v>30 días crédito</x:v>
      </x:c>
      <x:c r="AC119" s="32" t="str"/>
    </x:row>
    <x:row r="120">
      <x:c r="A120" t="n">
        <x:v>119</x:v>
      </x:c>
      <x:c r="B120" s="22" t="n">
        <x:v>46021</x:v>
      </x:c>
      <x:c r="C120" t="str">
        <x:v>OC-2025-0119</x:v>
      </x:c>
      <x:c r="D120" t="str">
        <x:v>F-D002-202512-5574</x:v>
      </x:c>
      <x:c r="E120" t="str">
        <x:v>L2512-012-0119</x:v>
      </x:c>
      <x:c r="F120" t="str">
        <x:v>D002</x:v>
      </x:c>
      <x:c r="G120" s="32" t="str">
        <x:v>MedSupply Ecuador Cía. Ltda.</x:v>
      </x:c>
      <x:c r="H120" t="str">
        <x:v>MED012</x:v>
      </x:c>
      <x:c r="I120" s="32" t="str">
        <x:v>Multivitamínico adulto</x:v>
      </x:c>
      <x:c r="J120" s="32" t="str">
        <x:v>Vitaminas</x:v>
      </x:c>
      <x:c r="K120" s="32" t="str">
        <x:v>Novartis</x:v>
      </x:c>
      <x:c r="L120" s="32" t="str">
        <x:v>Frasco x 30 tabletas</x:v>
      </x:c>
      <x:c r="M120" s="28" t="n">
        <x:v>10</x:v>
      </x:c>
      <x:c r="N120" s="28" t="n">
        <x:v>30</x:v>
      </x:c>
      <x:c r="O120" s="28" t="n">
        <x:f>M120*N120</x:f>
        <x:v>300</x:v>
      </x:c>
      <x:c r="P120" s="24" t="n">
        <x:v>4.49</x:v>
      </x:c>
      <x:c r="Q120" s="26" t="n">
        <x:v>0.03784207346785655</x:v>
      </x:c>
      <x:c r="R120" s="24" t="n">
        <x:f>O120*P120*Q120</x:f>
        <x:v>50.973272961202774</x:v>
      </x:c>
      <x:c r="S120" s="24" t="n">
        <x:f>P120*(1-Q120)</x:f>
        <x:v>4.320089090129325</x:v>
      </x:c>
      <x:c r="T120" s="24" t="n">
        <x:f>O120*S120</x:f>
        <x:v>1296.0267270387974</x:v>
      </x:c>
      <x:c r="U120" t="str">
        <x:v>CENTRO</x:v>
      </x:c>
      <x:c r="V120" t="str">
        <x:v>Farmacia Centro Histórico</x:v>
      </x:c>
      <x:c r="W120" t="str">
        <x:v>Zona Centro</x:v>
      </x:c>
      <x:c r="X120" t="str">
        <x:v>Quito</x:v>
      </x:c>
      <x:c r="Y120" s="32" t="str">
        <x:v>Guayaquil y Chile</x:v>
      </x:c>
      <x:c r="Z120" s="22" t="n">
        <x:v>46023</x:v>
      </x:c>
      <x:c r="AA120" t="str">
        <x:v>Recibido</x:v>
      </x:c>
      <x:c r="AB120" t="str">
        <x:v>15 días crédito</x:v>
      </x:c>
      <x:c r="AC120" s="32" t="str"/>
    </x:row>
    <x:row r="121">
      <x:c r="A121" t="n">
        <x:v>120</x:v>
      </x:c>
      <x:c r="B121" s="22" t="n">
        <x:v>46066</x:v>
      </x:c>
      <x:c r="C121" t="str">
        <x:v>OC-2026-0120</x:v>
      </x:c>
      <x:c r="D121" t="str">
        <x:v>F-D005-202602-7745</x:v>
      </x:c>
      <x:c r="E121" t="str">
        <x:v>L2602-012-0120</x:v>
      </x:c>
      <x:c r="F121" t="str">
        <x:v>D005</x:v>
      </x:c>
      <x:c r="G121" s="32" t="str">
        <x:v>PharmaExpress Quito</x:v>
      </x:c>
      <x:c r="H121" t="str">
        <x:v>MED012</x:v>
      </x:c>
      <x:c r="I121" s="32" t="str">
        <x:v>Multivitamínico adulto</x:v>
      </x:c>
      <x:c r="J121" s="32" t="str">
        <x:v>Vitaminas</x:v>
      </x:c>
      <x:c r="K121" s="32" t="str">
        <x:v>Novartis</x:v>
      </x:c>
      <x:c r="L121" s="32" t="str">
        <x:v>Frasco x 30 tabletas</x:v>
      </x:c>
      <x:c r="M121" s="28" t="n">
        <x:v>12</x:v>
      </x:c>
      <x:c r="N121" s="28" t="n">
        <x:v>30</x:v>
      </x:c>
      <x:c r="O121" s="28" t="n">
        <x:f>M121*N121</x:f>
        <x:v>360</x:v>
      </x:c>
      <x:c r="P121" s="24" t="n">
        <x:v>4.44</x:v>
      </x:c>
      <x:c r="Q121" s="26" t="n">
        <x:v>0.0981993132445433</x:v>
      </x:c>
      <x:c r="R121" s="24" t="n">
        <x:f>O121*P121*Q121</x:f>
        <x:v>156.96178229007802</x:v>
      </x:c>
      <x:c r="S121" s="24" t="n">
        <x:f>P121*(1-Q121)</x:f>
        <x:v>4.003995049194228</x:v>
      </x:c>
      <x:c r="T121" s="24" t="n">
        <x:f>O121*S121</x:f>
        <x:v>1441.4382177099221</x:v>
      </x:c>
      <x:c r="U121" t="str">
        <x:v>VALLE</x:v>
      </x:c>
      <x:c r="V121" t="str">
        <x:v>Farmacia Valle de los Chillos</x:v>
      </x:c>
      <x:c r="W121" t="str">
        <x:v>Zona Valle</x:v>
      </x:c>
      <x:c r="X121" t="str">
        <x:v>Sangolquí</x:v>
      </x:c>
      <x:c r="Y121" s="32" t="str">
        <x:v>Av. Calderón 101</x:v>
      </x:c>
      <x:c r="Z121" s="22" t="n">
        <x:v>46071</x:v>
      </x:c>
      <x:c r="AA121" t="str">
        <x:v>Recibido</x:v>
      </x:c>
      <x:c r="AB121" t="str">
        <x:v>30 días crédito</x:v>
      </x:c>
      <x:c r="AC121" s="32" t="str"/>
    </x:row>
    <x:row r="122">
      <x:c r="A122" t="n">
        <x:v>121</x:v>
      </x:c>
      <x:c r="B122" s="22" t="n">
        <x:v>46269</x:v>
      </x:c>
      <x:c r="C122" t="str">
        <x:v>OC-2026-0121</x:v>
      </x:c>
      <x:c r="D122" t="str">
        <x:v>F-D007-202609-8221</x:v>
      </x:c>
      <x:c r="E122" t="str">
        <x:v>L2609-012-0121</x:v>
      </x:c>
      <x:c r="F122" t="str">
        <x:v>D007</x:v>
      </x:c>
      <x:c r="G122" s="32" t="str">
        <x:v>Comercializadora BioFarma</x:v>
      </x:c>
      <x:c r="H122" t="str">
        <x:v>MED012</x:v>
      </x:c>
      <x:c r="I122" s="32" t="str">
        <x:v>Multivitamínico adulto</x:v>
      </x:c>
      <x:c r="J122" s="32" t="str">
        <x:v>Vitaminas</x:v>
      </x:c>
      <x:c r="K122" s="32" t="str">
        <x:v>Novartis</x:v>
      </x:c>
      <x:c r="L122" s="32" t="str">
        <x:v>Frasco x 30 tabletas</x:v>
      </x:c>
      <x:c r="M122" s="28" t="n">
        <x:v>15</x:v>
      </x:c>
      <x:c r="N122" s="28" t="n">
        <x:v>24</x:v>
      </x:c>
      <x:c r="O122" s="28" t="n">
        <x:f>M122*N122</x:f>
        <x:v>360</x:v>
      </x:c>
      <x:c r="P122" s="24" t="n">
        <x:v>4.71</x:v>
      </x:c>
      <x:c r="Q122" s="26" t="n">
        <x:v>0.057412267617108305</x:v>
      </x:c>
      <x:c r="R122" s="24" t="n">
        <x:f>O122*P122*Q122</x:f>
        <x:v>97.34824097156884</x:v>
      </x:c>
      <x:c r="S122" s="24" t="n">
        <x:f>P122*(1-Q122)</x:f>
        <x:v>4.43958821952342</x:v>
      </x:c>
      <x:c r="T122" s="24" t="n">
        <x:f>O122*S122</x:f>
        <x:v>1598.2517590284313</x:v>
      </x:c>
      <x:c r="U122" t="str">
        <x:v>SUR</x:v>
      </x:c>
      <x:c r="V122" t="str">
        <x:v>Farmacia del Sur</x:v>
      </x:c>
      <x:c r="W122" t="str">
        <x:v>Zona Sur</x:v>
      </x:c>
      <x:c r="X122" t="str">
        <x:v>Quito</x:v>
      </x:c>
      <x:c r="Y122" s="32" t="str">
        <x:v>Av. Maldonado S25-10</x:v>
      </x:c>
      <x:c r="Z122" s="22" t="n">
        <x:v>46271</x:v>
      </x:c>
      <x:c r="AA122" t="str">
        <x:v>Recibido</x:v>
      </x:c>
      <x:c r="AB122" t="str">
        <x:v>15 días crédito</x:v>
      </x:c>
      <x:c r="AC122" s="32" t="str">
        <x:v>Entrega coordinada fuera de horario regular</x:v>
      </x:c>
    </x:row>
    <x:row r="123">
      <x:c r="A123" t="n">
        <x:v>122</x:v>
      </x:c>
      <x:c r="B123" s="22" t="n">
        <x:v>46221</x:v>
      </x:c>
      <x:c r="C123" t="str">
        <x:v>OC-2026-0122</x:v>
      </x:c>
      <x:c r="D123" t="str">
        <x:v>F-D006-202607-9200</x:v>
      </x:c>
      <x:c r="E123" t="str">
        <x:v>L2607-010-0122</x:v>
      </x:c>
      <x:c r="F123" t="str">
        <x:v>D006</x:v>
      </x:c>
      <x:c r="G123" s="32" t="str">
        <x:v>Insumos Médicos del Pacífico</x:v>
      </x:c>
      <x:c r="H123" t="str">
        <x:v>MED010</x:v>
      </x:c>
      <x:c r="I123" s="32" t="str">
        <x:v>Aspirina 100 mg</x:v>
      </x:c>
      <x:c r="J123" s="32" t="str">
        <x:v>Cardiovasculares</x:v>
      </x:c>
      <x:c r="K123" s="32" t="str">
        <x:v>Bayer</x:v>
      </x:c>
      <x:c r="L123" s="32" t="str">
        <x:v>Caja x 30 tabletas</x:v>
      </x:c>
      <x:c r="M123" s="28" t="n">
        <x:v>8</x:v>
      </x:c>
      <x:c r="N123" s="28" t="n">
        <x:v>20</x:v>
      </x:c>
      <x:c r="O123" s="28" t="n">
        <x:f>M123*N123</x:f>
        <x:v>160</x:v>
      </x:c>
      <x:c r="P123" s="24" t="n">
        <x:v>1.57</x:v>
      </x:c>
      <x:c r="Q123" s="26" t="n">
        <x:v>0.11907498353736874</x:v>
      </x:c>
      <x:c r="R123" s="24" t="n">
        <x:f>O123*P123*Q123</x:f>
        <x:v>29.91163586458703</x:v>
      </x:c>
      <x:c r="S123" s="24" t="n">
        <x:f>P123*(1-Q123)</x:f>
        <x:v>1.383052275846331</x:v>
      </x:c>
      <x:c r="T123" s="24" t="n">
        <x:f>O123*S123</x:f>
        <x:v>221.28836413541296</x:v>
      </x:c>
      <x:c r="U123" t="str">
        <x:v>SUR</x:v>
      </x:c>
      <x:c r="V123" t="str">
        <x:v>Farmacia del Sur</x:v>
      </x:c>
      <x:c r="W123" t="str">
        <x:v>Zona Sur</x:v>
      </x:c>
      <x:c r="X123" t="str">
        <x:v>Quito</x:v>
      </x:c>
      <x:c r="Y123" s="32" t="str">
        <x:v>Av. Maldonado S25-10</x:v>
      </x:c>
      <x:c r="Z123" s="22" t="n">
        <x:v>46223</x:v>
      </x:c>
      <x:c r="AA123" t="str">
        <x:v>Recibido</x:v>
      </x:c>
      <x:c r="AB123" t="str">
        <x:v>60 días crédito</x:v>
      </x:c>
      <x:c r="AC123" s="32" t="str"/>
    </x:row>
    <x:row r="124">
      <x:c r="A124" t="n">
        <x:v>123</x:v>
      </x:c>
      <x:c r="B124" s="22" t="n">
        <x:v>45670</x:v>
      </x:c>
      <x:c r="C124" t="str">
        <x:v>OC-2025-0123</x:v>
      </x:c>
      <x:c r="D124" t="str">
        <x:v>F-D004-202501-2866</x:v>
      </x:c>
      <x:c r="E124" t="str">
        <x:v>L2501-013-0123</x:v>
      </x:c>
      <x:c r="F124" t="str">
        <x:v>D004</x:v>
      </x:c>
      <x:c r="G124" s="32" t="str">
        <x:v>Distribuidora Salud Total</x:v>
      </x:c>
      <x:c r="H124" t="str">
        <x:v>MED013</x:v>
      </x:c>
      <x:c r="I124" s="32" t="str">
        <x:v>Probióticos</x:v>
      </x:c>
      <x:c r="J124" s="32" t="str">
        <x:v>Gastrointestinales</x:v>
      </x:c>
      <x:c r="K124" s="32" t="str">
        <x:v>Laboratorios Bagó</x:v>
      </x:c>
      <x:c r="L124" s="32" t="str">
        <x:v>Caja x 10 sobres</x:v>
      </x:c>
      <x:c r="M124" s="28" t="n">
        <x:v>4</x:v>
      </x:c>
      <x:c r="N124" s="28" t="n">
        <x:v>30</x:v>
      </x:c>
      <x:c r="O124" s="28" t="n">
        <x:f>M124*N124</x:f>
        <x:v>120</x:v>
      </x:c>
      <x:c r="P124" s="24" t="n">
        <x:v>4.98</x:v>
      </x:c>
      <x:c r="Q124" s="26" t="n">
        <x:v>0.13139561000791994</x:v>
      </x:c>
      <x:c r="R124" s="24" t="n">
        <x:f>O124*P124*Q124</x:f>
        <x:v>78.52201654073296</x:v>
      </x:c>
      <x:c r="S124" s="24" t="n">
        <x:f>P124*(1-Q124)</x:f>
        <x:v>4.325649862160559</x:v>
      </x:c>
      <x:c r="T124" s="24" t="n">
        <x:f>O124*S124</x:f>
        <x:v>519.0779834592671</x:v>
      </x:c>
      <x:c r="U124" t="str">
        <x:v>VALLE</x:v>
      </x:c>
      <x:c r="V124" t="str">
        <x:v>Farmacia Valle de los Chillos</x:v>
      </x:c>
      <x:c r="W124" t="str">
        <x:v>Zona Valle</x:v>
      </x:c>
      <x:c r="X124" t="str">
        <x:v>Sangolquí</x:v>
      </x:c>
      <x:c r="Y124" s="32" t="str">
        <x:v>Av. Calderón 101</x:v>
      </x:c>
      <x:c r="Z124" s="22" t="n">
        <x:v>45671</x:v>
      </x:c>
      <x:c r="AA124" t="str">
        <x:v>Recibido</x:v>
      </x:c>
      <x:c r="AB124" t="str">
        <x:v>45 días crédito</x:v>
      </x:c>
      <x:c r="AC124" s="32" t="str">
        <x:v>Descuento por volumen</x:v>
      </x:c>
    </x:row>
    <x:row r="125">
      <x:c r="A125" t="n">
        <x:v>124</x:v>
      </x:c>
      <x:c r="B125" s="22" t="n">
        <x:v>45904</x:v>
      </x:c>
      <x:c r="C125" t="str">
        <x:v>OC-2025-0124</x:v>
      </x:c>
      <x:c r="D125" t="str">
        <x:v>F-D008-202509-4048</x:v>
      </x:c>
      <x:c r="E125" t="str">
        <x:v>L2509-005-0124</x:v>
      </x:c>
      <x:c r="F125" t="str">
        <x:v>D008</x:v>
      </x:c>
      <x:c r="G125" s="32" t="str">
        <x:v>Mayorista MedicPlus</x:v>
      </x:c>
      <x:c r="H125" t="str">
        <x:v>MED005</x:v>
      </x:c>
      <x:c r="I125" s="32" t="str">
        <x:v>Loratadina 10 mg</x:v>
      </x:c>
      <x:c r="J125" s="32" t="str">
        <x:v>Antigripales</x:v>
      </x:c>
      <x:c r="K125" s="32" t="str">
        <x:v>Genfar</x:v>
      </x:c>
      <x:c r="L125" s="32" t="str">
        <x:v>Caja x 10 tabletas</x:v>
      </x:c>
      <x:c r="M125" s="28" t="n">
        <x:v>3</x:v>
      </x:c>
      <x:c r="N125" s="28" t="n">
        <x:v>60</x:v>
      </x:c>
      <x:c r="O125" s="28" t="n">
        <x:f>M125*N125</x:f>
        <x:v>180</x:v>
      </x:c>
      <x:c r="P125" s="24" t="n">
        <x:v>1</x:v>
      </x:c>
      <x:c r="Q125" s="26" t="n">
        <x:v>0.1198553368582505</x:v>
      </x:c>
      <x:c r="R125" s="24" t="n">
        <x:f>O125*P125*Q125</x:f>
        <x:v>21.57396063448509</x:v>
      </x:c>
      <x:c r="S125" s="24" t="n">
        <x:f>P125*(1-Q125)</x:f>
        <x:v>0.8801446631417496</x:v>
      </x:c>
      <x:c r="T125" s="24" t="n">
        <x:f>O125*S125</x:f>
        <x:v>158.42603936551492</x:v>
      </x:c>
      <x:c r="U125" t="str">
        <x:v>CENTRO</x:v>
      </x:c>
      <x:c r="V125" t="str">
        <x:v>Farmacia Centro Histórico</x:v>
      </x:c>
      <x:c r="W125" t="str">
        <x:v>Zona Centro</x:v>
      </x:c>
      <x:c r="X125" t="str">
        <x:v>Quito</x:v>
      </x:c>
      <x:c r="Y125" s="32" t="str">
        <x:v>Guayaquil y Chile</x:v>
      </x:c>
      <x:c r="Z125" s="22" t="n">
        <x:v>45905</x:v>
      </x:c>
      <x:c r="AA125" t="str">
        <x:v>Recibido</x:v>
      </x:c>
      <x:c r="AB125" t="str">
        <x:v>30 días crédito</x:v>
      </x:c>
      <x:c r="AC125" s="32" t="str"/>
    </x:row>
    <x:row r="126">
      <x:c r="A126" t="n">
        <x:v>125</x:v>
      </x:c>
      <x:c r="B126" s="22" t="n">
        <x:v>45940</x:v>
      </x:c>
      <x:c r="C126" t="str">
        <x:v>OC-2025-0125</x:v>
      </x:c>
      <x:c r="D126" t="str">
        <x:v>F-D005-202510-8385</x:v>
      </x:c>
      <x:c r="E126" t="str">
        <x:v>L2510-005-0125</x:v>
      </x:c>
      <x:c r="F126" t="str">
        <x:v>D005</x:v>
      </x:c>
      <x:c r="G126" s="32" t="str">
        <x:v>PharmaExpress Quito</x:v>
      </x:c>
      <x:c r="H126" t="str">
        <x:v>MED005</x:v>
      </x:c>
      <x:c r="I126" s="32" t="str">
        <x:v>Loratadina 10 mg</x:v>
      </x:c>
      <x:c r="J126" s="32" t="str">
        <x:v>Antigripales</x:v>
      </x:c>
      <x:c r="K126" s="32" t="str">
        <x:v>Genfar</x:v>
      </x:c>
      <x:c r="L126" s="32" t="str">
        <x:v>Caja x 10 tabletas</x:v>
      </x:c>
      <x:c r="M126" s="28" t="n">
        <x:v>36</x:v>
      </x:c>
      <x:c r="N126" s="28" t="n">
        <x:v>10</x:v>
      </x:c>
      <x:c r="O126" s="28" t="n">
        <x:f>M126*N126</x:f>
        <x:v>360</x:v>
      </x:c>
      <x:c r="P126" s="24" t="n">
        <x:v>0.93</x:v>
      </x:c>
      <x:c r="Q126" s="26" t="n">
        <x:v>0.08085304682867234</x:v>
      </x:c>
      <x:c r="R126" s="24" t="n">
        <x:f>O126*P126*Q126</x:f>
        <x:v>27.0696000782395</x:v>
      </x:c>
      <x:c r="S126" s="24" t="n">
        <x:f>P126*(1-Q126)</x:f>
        <x:v>0.8548066664493348</x:v>
      </x:c>
      <x:c r="T126" s="24" t="n">
        <x:f>O126*S126</x:f>
        <x:v>307.7303999217605</x:v>
      </x:c>
      <x:c r="U126" t="str">
        <x:v>SUR</x:v>
      </x:c>
      <x:c r="V126" t="str">
        <x:v>Farmacia del Sur</x:v>
      </x:c>
      <x:c r="W126" t="str">
        <x:v>Zona Sur</x:v>
      </x:c>
      <x:c r="X126" t="str">
        <x:v>Quito</x:v>
      </x:c>
      <x:c r="Y126" s="32" t="str">
        <x:v>Av. Maldonado S25-10</x:v>
      </x:c>
      <x:c r="Z126" s="22" t="n">
        <x:v>45944</x:v>
      </x:c>
      <x:c r="AA126" t="str">
        <x:v>Recibido</x:v>
      </x:c>
      <x:c r="AB126" t="str">
        <x:v>30 días crédito</x:v>
      </x:c>
      <x:c r="AC126" s="32" t="str"/>
    </x:row>
    <x:row r="127">
      <x:c r="A127" t="n">
        <x:v>126</x:v>
      </x:c>
      <x:c r="B127" s="22" t="n">
        <x:v>46026</x:v>
      </x:c>
      <x:c r="C127" t="str">
        <x:v>OC-2026-0126</x:v>
      </x:c>
      <x:c r="D127" t="str">
        <x:v>F-D003-202601-5769</x:v>
      </x:c>
      <x:c r="E127" t="str">
        <x:v>L2601-007-0126</x:v>
      </x:c>
      <x:c r="F127" t="str">
        <x:v>D003</x:v>
      </x:c>
      <x:c r="G127" s="32" t="str">
        <x:v>FarmaLogística Sierra</x:v>
      </x:c>
      <x:c r="H127" t="str">
        <x:v>MED007</x:v>
      </x:c>
      <x:c r="I127" s="32" t="str">
        <x:v>Omeprazol 20 mg</x:v>
      </x:c>
      <x:c r="J127" s="32" t="str">
        <x:v>Gastrointestinales</x:v>
      </x:c>
      <x:c r="K127" s="32" t="str">
        <x:v>La Santé</x:v>
      </x:c>
      <x:c r="L127" s="32" t="str">
        <x:v>Caja x 30 cápsulas</x:v>
      </x:c>
      <x:c r="M127" s="28" t="n">
        <x:v>36</x:v>
      </x:c>
      <x:c r="N127" s="28" t="n">
        <x:v>20</x:v>
      </x:c>
      <x:c r="O127" s="28" t="n">
        <x:f>M127*N127</x:f>
        <x:v>720</x:v>
      </x:c>
      <x:c r="P127" s="24" t="n">
        <x:v>3.22</x:v>
      </x:c>
      <x:c r="Q127" s="26" t="n">
        <x:v>0.05508353534664206</x:v>
      </x:c>
      <x:c r="R127" s="24" t="n">
        <x:f>O127*P127*Q127</x:f>
        <x:v>127.70566834765495</x:v>
      </x:c>
      <x:c r="S127" s="24" t="n">
        <x:f>P127*(1-Q127)</x:f>
        <x:v>3.042631016183813</x:v>
      </x:c>
      <x:c r="T127" s="24" t="n">
        <x:f>O127*S127</x:f>
        <x:v>2190.694331652345</x:v>
      </x:c>
      <x:c r="U127" t="str">
        <x:v>NORTE</x:v>
      </x:c>
      <x:c r="V127" t="str">
        <x:v>Farmacia Norte</x:v>
      </x:c>
      <x:c r="W127" t="str">
        <x:v>Zona Norte</x:v>
      </x:c>
      <x:c r="X127" t="str">
        <x:v>Quito</x:v>
      </x:c>
      <x:c r="Y127" s="32" t="str">
        <x:v>Av. 10 de Agosto N45-20</x:v>
      </x:c>
      <x:c r="Z127" s="22" t="n">
        <x:v>46027</x:v>
      </x:c>
      <x:c r="AA127" t="str">
        <x:v>Recibido</x:v>
      </x:c>
      <x:c r="AB127" t="str">
        <x:v>Contado contra entrega</x:v>
      </x:c>
      <x:c r="AC127" s="32" t="str"/>
    </x:row>
    <x:row r="128">
      <x:c r="A128" t="n">
        <x:v>127</x:v>
      </x:c>
      <x:c r="B128" s="22" t="n">
        <x:v>46347</x:v>
      </x:c>
      <x:c r="C128" t="str">
        <x:v>OC-2026-0127</x:v>
      </x:c>
      <x:c r="D128" t="str">
        <x:v>F-D001-202611-9666</x:v>
      </x:c>
      <x:c r="E128" t="str">
        <x:v>L2611-005-0127</x:v>
      </x:c>
      <x:c r="F128" t="str">
        <x:v>D001</x:v>
      </x:c>
      <x:c r="G128" s="32" t="str">
        <x:v>DistriFarma Andina S.A.</x:v>
      </x:c>
      <x:c r="H128" t="str">
        <x:v>MED005</x:v>
      </x:c>
      <x:c r="I128" s="32" t="str">
        <x:v>Loratadina 10 mg</x:v>
      </x:c>
      <x:c r="J128" s="32" t="str">
        <x:v>Antigripales</x:v>
      </x:c>
      <x:c r="K128" s="32" t="str">
        <x:v>Genfar</x:v>
      </x:c>
      <x:c r="L128" s="32" t="str">
        <x:v>Caja x 10 tabletas</x:v>
      </x:c>
      <x:c r="M128" s="28" t="n">
        <x:v>6</x:v>
      </x:c>
      <x:c r="N128" s="28" t="n">
        <x:v>60</x:v>
      </x:c>
      <x:c r="O128" s="28" t="n">
        <x:f>M128*N128</x:f>
        <x:v>360</x:v>
      </x:c>
      <x:c r="P128" s="24" t="n">
        <x:v>1.19</x:v>
      </x:c>
      <x:c r="Q128" s="26" t="n">
        <x:v>0.07204180793636301</x:v>
      </x:c>
      <x:c r="R128" s="24" t="n">
        <x:f>O128*P128*Q128</x:f>
        <x:v>30.862710519937913</x:v>
      </x:c>
      <x:c r="S128" s="24" t="n">
        <x:f>P128*(1-Q128)</x:f>
        <x:v>1.1042702485557279</x:v>
      </x:c>
      <x:c r="T128" s="24" t="n">
        <x:f>O128*S128</x:f>
        <x:v>397.53728948006204</x:v>
      </x:c>
      <x:c r="U128" t="str">
        <x:v>NORTE</x:v>
      </x:c>
      <x:c r="V128" t="str">
        <x:v>Farmacia Norte</x:v>
      </x:c>
      <x:c r="W128" t="str">
        <x:v>Zona Norte</x:v>
      </x:c>
      <x:c r="X128" t="str">
        <x:v>Quito</x:v>
      </x:c>
      <x:c r="Y128" s="32" t="str">
        <x:v>Av. 10 de Agosto N45-20</x:v>
      </x:c>
      <x:c r="Z128" s="22" t="n">
        <x:v>46348</x:v>
      </x:c>
      <x:c r="AA128" t="str">
        <x:v>Recibido</x:v>
      </x:c>
      <x:c r="AB128" t="str">
        <x:v>30 días crédito</x:v>
      </x:c>
      <x:c r="AC128" s="32" t="str">
        <x:v>Entrega coordinada fuera de horario regular</x:v>
      </x:c>
    </x:row>
    <x:row r="129">
      <x:c r="A129" t="n">
        <x:v>128</x:v>
      </x:c>
      <x:c r="B129" s="22" t="n">
        <x:v>46011</x:v>
      </x:c>
      <x:c r="C129" t="str">
        <x:v>OC-2025-0128</x:v>
      </x:c>
      <x:c r="D129" t="str">
        <x:v>F-D005-202512-1407</x:v>
      </x:c>
      <x:c r="E129" t="str">
        <x:v>L2512-012-0128</x:v>
      </x:c>
      <x:c r="F129" t="str">
        <x:v>D005</x:v>
      </x:c>
      <x:c r="G129" s="32" t="str">
        <x:v>PharmaExpress Quito</x:v>
      </x:c>
      <x:c r="H129" t="str">
        <x:v>MED012</x:v>
      </x:c>
      <x:c r="I129" s="32" t="str">
        <x:v>Multivitamínico adulto</x:v>
      </x:c>
      <x:c r="J129" s="32" t="str">
        <x:v>Vitaminas</x:v>
      </x:c>
      <x:c r="K129" s="32" t="str">
        <x:v>Novartis</x:v>
      </x:c>
      <x:c r="L129" s="32" t="str">
        <x:v>Frasco x 30 tabletas</x:v>
      </x:c>
      <x:c r="M129" s="28" t="n">
        <x:v>4</x:v>
      </x:c>
      <x:c r="N129" s="28" t="n">
        <x:v>60</x:v>
      </x:c>
      <x:c r="O129" s="28" t="n">
        <x:f>M129*N129</x:f>
        <x:v>240</x:v>
      </x:c>
      <x:c r="P129" s="24" t="n">
        <x:v>3.95</x:v>
      </x:c>
      <x:c r="Q129" s="26" t="n">
        <x:v>0.09840655226832323</x:v>
      </x:c>
      <x:c r="R129" s="24" t="n">
        <x:f>O129*P129*Q129</x:f>
        <x:v>93.28941155037043</x:v>
      </x:c>
      <x:c r="S129" s="24" t="n">
        <x:f>P129*(1-Q129)</x:f>
        <x:v>3.5612941185401232</x:v>
      </x:c>
      <x:c r="T129" s="24" t="n">
        <x:f>O129*S129</x:f>
        <x:v>854.7105884496295</x:v>
      </x:c>
      <x:c r="U129" t="str">
        <x:v>NORTE</x:v>
      </x:c>
      <x:c r="V129" t="str">
        <x:v>Farmacia Norte</x:v>
      </x:c>
      <x:c r="W129" t="str">
        <x:v>Zona Norte</x:v>
      </x:c>
      <x:c r="X129" t="str">
        <x:v>Quito</x:v>
      </x:c>
      <x:c r="Y129" s="32" t="str">
        <x:v>Av. 10 de Agosto N45-20</x:v>
      </x:c>
      <x:c r="Z129" s="22" t="n">
        <x:v>46015</x:v>
      </x:c>
      <x:c r="AA129" t="str">
        <x:v>Recibido</x:v>
      </x:c>
      <x:c r="AB129" t="str">
        <x:v>30 días crédito</x:v>
      </x:c>
      <x:c r="AC129" s="32" t="str"/>
    </x:row>
    <x:row r="130">
      <x:c r="A130" t="n">
        <x:v>129</x:v>
      </x:c>
      <x:c r="B130" s="22" t="n">
        <x:v>46360</x:v>
      </x:c>
      <x:c r="C130" t="str">
        <x:v>OC-2026-0129</x:v>
      </x:c>
      <x:c r="D130" t="str">
        <x:v>F-D006-202612-3801</x:v>
      </x:c>
      <x:c r="E130" t="str">
        <x:v>L2612-009-0129</x:v>
      </x:c>
      <x:c r="F130" t="str">
        <x:v>D006</x:v>
      </x:c>
      <x:c r="G130" s="32" t="str">
        <x:v>Insumos Médicos del Pacífico</x:v>
      </x:c>
      <x:c r="H130" t="str">
        <x:v>MED009</x:v>
      </x:c>
      <x:c r="I130" s="32" t="str">
        <x:v>Losartán 50 mg</x:v>
      </x:c>
      <x:c r="J130" s="32" t="str">
        <x:v>Cardiovasculares</x:v>
      </x:c>
      <x:c r="K130" s="32" t="str">
        <x:v>Laboratorios Bagó</x:v>
      </x:c>
      <x:c r="L130" s="32" t="str">
        <x:v>Caja x 30 tabletas</x:v>
      </x:c>
      <x:c r="M130" s="28" t="n">
        <x:v>36</x:v>
      </x:c>
      <x:c r="N130" s="28" t="n">
        <x:v>10</x:v>
      </x:c>
      <x:c r="O130" s="28" t="n">
        <x:f>M130*N130</x:f>
        <x:v>360</x:v>
      </x:c>
      <x:c r="P130" s="24" t="n">
        <x:v>3.09</x:v>
      </x:c>
      <x:c r="Q130" s="26" t="n">
        <x:v>0.11228865986079631</x:v>
      </x:c>
      <x:c r="R130" s="24" t="n">
        <x:f>O130*P130*Q130</x:f>
        <x:v>124.9099052291498</x:v>
      </x:c>
      <x:c r="S130" s="24" t="n">
        <x:f>P130*(1-Q130)</x:f>
        <x:v>2.7430280410301395</x:v>
      </x:c>
      <x:c r="T130" s="24" t="n">
        <x:f>O130*S130</x:f>
        <x:v>987.4900947708502</x:v>
      </x:c>
      <x:c r="U130" t="str">
        <x:v>SUR</x:v>
      </x:c>
      <x:c r="V130" t="str">
        <x:v>Farmacia del Sur</x:v>
      </x:c>
      <x:c r="W130" t="str">
        <x:v>Zona Sur</x:v>
      </x:c>
      <x:c r="X130" t="str">
        <x:v>Quito</x:v>
      </x:c>
      <x:c r="Y130" s="32" t="str">
        <x:v>Av. Maldonado S25-10</x:v>
      </x:c>
      <x:c r="Z130" s="22" t="n">
        <x:v>46365</x:v>
      </x:c>
      <x:c r="AA130" t="str">
        <x:v>Recibido</x:v>
      </x:c>
      <x:c r="AB130" t="str">
        <x:v>60 días crédito</x:v>
      </x:c>
      <x:c r="AC130" s="32" t="str"/>
    </x:row>
    <x:row r="131">
      <x:c r="A131" t="n">
        <x:v>130</x:v>
      </x:c>
      <x:c r="B131" s="22" t="n">
        <x:v>46148</x:v>
      </x:c>
      <x:c r="C131" t="str">
        <x:v>OC-2026-0130</x:v>
      </x:c>
      <x:c r="D131" t="str">
        <x:v>F-D001-202605-3762</x:v>
      </x:c>
      <x:c r="E131" t="str">
        <x:v>L2605-005-0130</x:v>
      </x:c>
      <x:c r="F131" t="str">
        <x:v>D001</x:v>
      </x:c>
      <x:c r="G131" s="32" t="str">
        <x:v>DistriFarma Andina S.A.</x:v>
      </x:c>
      <x:c r="H131" t="str">
        <x:v>MED005</x:v>
      </x:c>
      <x:c r="I131" s="32" t="str">
        <x:v>Loratadina 10 mg</x:v>
      </x:c>
      <x:c r="J131" s="32" t="str">
        <x:v>Antigripales</x:v>
      </x:c>
      <x:c r="K131" s="32" t="str">
        <x:v>Genfar</x:v>
      </x:c>
      <x:c r="L131" s="32" t="str">
        <x:v>Caja x 10 tabletas</x:v>
      </x:c>
      <x:c r="M131" s="28" t="n">
        <x:v>4</x:v>
      </x:c>
      <x:c r="N131" s="28" t="n">
        <x:v>30</x:v>
      </x:c>
      <x:c r="O131" s="28" t="n">
        <x:f>M131*N131</x:f>
        <x:v>120</x:v>
      </x:c>
      <x:c r="P131" s="24" t="n">
        <x:v>1.11</x:v>
      </x:c>
      <x:c r="Q131" s="26" t="n">
        <x:v>0.09128710818603301</x:v>
      </x:c>
      <x:c r="R131" s="24" t="n">
        <x:f>O131*P131*Q131</x:f>
        <x:v>12.159442810379598</x:v>
      </x:c>
      <x:c r="S131" s="24" t="n">
        <x:f>P131*(1-Q131)</x:f>
        <x:v>1.0086713099135034</x:v>
      </x:c>
      <x:c r="T131" s="24" t="n">
        <x:f>O131*S131</x:f>
        <x:v>121.04055718962042</x:v>
      </x:c>
      <x:c r="U131" t="str">
        <x:v>NORTE</x:v>
      </x:c>
      <x:c r="V131" t="str">
        <x:v>Farmacia Norte</x:v>
      </x:c>
      <x:c r="W131" t="str">
        <x:v>Zona Norte</x:v>
      </x:c>
      <x:c r="X131" t="str">
        <x:v>Quito</x:v>
      </x:c>
      <x:c r="Y131" s="32" t="str">
        <x:v>Av. 10 de Agosto N45-20</x:v>
      </x:c>
      <x:c r="Z131" s="22" t="n">
        <x:v>46150</x:v>
      </x:c>
      <x:c r="AA131" t="str">
        <x:v>Recibido</x:v>
      </x:c>
      <x:c r="AB131" t="str">
        <x:v>30 días crédito</x:v>
      </x:c>
      <x:c r="AC131" s="32" t="str"/>
    </x:row>
    <x:row r="132">
      <x:c r="A132" t="n">
        <x:v>131</x:v>
      </x:c>
      <x:c r="B132" s="22" t="n">
        <x:v>46105</x:v>
      </x:c>
      <x:c r="C132" t="str">
        <x:v>OC-2026-0131</x:v>
      </x:c>
      <x:c r="D132" t="str">
        <x:v>F-D008-202603-5659</x:v>
      </x:c>
      <x:c r="E132" t="str">
        <x:v>L2603-005-0131</x:v>
      </x:c>
      <x:c r="F132" t="str">
        <x:v>D008</x:v>
      </x:c>
      <x:c r="G132" s="32" t="str">
        <x:v>Mayorista MedicPlus</x:v>
      </x:c>
      <x:c r="H132" t="str">
        <x:v>MED005</x:v>
      </x:c>
      <x:c r="I132" s="32" t="str">
        <x:v>Loratadina 10 mg</x:v>
      </x:c>
      <x:c r="J132" s="32" t="str">
        <x:v>Antigripales</x:v>
      </x:c>
      <x:c r="K132" s="32" t="str">
        <x:v>Genfar</x:v>
      </x:c>
      <x:c r="L132" s="32" t="str">
        <x:v>Caja x 10 tabletas</x:v>
      </x:c>
      <x:c r="M132" s="28" t="n">
        <x:v>15</x:v>
      </x:c>
      <x:c r="N132" s="28" t="n">
        <x:v>50</x:v>
      </x:c>
      <x:c r="O132" s="28" t="n">
        <x:f>M132*N132</x:f>
        <x:v>750</x:v>
      </x:c>
      <x:c r="P132" s="24" t="n">
        <x:v>1.08</x:v>
      </x:c>
      <x:c r="Q132" s="26" t="n">
        <x:v>0.10581907734793482</x:v>
      </x:c>
      <x:c r="R132" s="24" t="n">
        <x:f>O132*P132*Q132</x:f>
        <x:v>85.7134526518272</x:v>
      </x:c>
      <x:c r="S132" s="24" t="n">
        <x:f>P132*(1-Q132)</x:f>
        <x:v>0.9657153964642304</x:v>
      </x:c>
      <x:c r="T132" s="24" t="n">
        <x:f>O132*S132</x:f>
        <x:v>724.2865473481728</x:v>
      </x:c>
      <x:c r="U132" t="str">
        <x:v>SUR</x:v>
      </x:c>
      <x:c r="V132" t="str">
        <x:v>Farmacia del Sur</x:v>
      </x:c>
      <x:c r="W132" t="str">
        <x:v>Zona Sur</x:v>
      </x:c>
      <x:c r="X132" t="str">
        <x:v>Quito</x:v>
      </x:c>
      <x:c r="Y132" s="32" t="str">
        <x:v>Av. Maldonado S25-10</x:v>
      </x:c>
      <x:c r="Z132" s="22" t="n">
        <x:v>46109</x:v>
      </x:c>
      <x:c r="AA132" t="str">
        <x:v>Recibido</x:v>
      </x:c>
      <x:c r="AB132" t="str">
        <x:v>30 días crédito</x:v>
      </x:c>
      <x:c r="AC132" s="32" t="str">
        <x:v>Entrega coordinada fuera de horario regular</x:v>
      </x:c>
    </x:row>
    <x:row r="133">
      <x:c r="A133" t="n">
        <x:v>132</x:v>
      </x:c>
      <x:c r="B133" s="22" t="n">
        <x:v>45721</x:v>
      </x:c>
      <x:c r="C133" t="str">
        <x:v>OC-2025-0132</x:v>
      </x:c>
      <x:c r="D133" t="str">
        <x:v>F-D008-202503-3871</x:v>
      </x:c>
      <x:c r="E133" t="str">
        <x:v>L2503-013-0132</x:v>
      </x:c>
      <x:c r="F133" t="str">
        <x:v>D008</x:v>
      </x:c>
      <x:c r="G133" s="32" t="str">
        <x:v>Mayorista MedicPlus</x:v>
      </x:c>
      <x:c r="H133" t="str">
        <x:v>MED013</x:v>
      </x:c>
      <x:c r="I133" s="32" t="str">
        <x:v>Probióticos</x:v>
      </x:c>
      <x:c r="J133" s="32" t="str">
        <x:v>Gastrointestinales</x:v>
      </x:c>
      <x:c r="K133" s="32" t="str">
        <x:v>Laboratorios Bagó</x:v>
      </x:c>
      <x:c r="L133" s="32" t="str">
        <x:v>Caja x 10 sobres</x:v>
      </x:c>
      <x:c r="M133" s="28" t="n">
        <x:v>9</x:v>
      </x:c>
      <x:c r="N133" s="28" t="n">
        <x:v>24</x:v>
      </x:c>
      <x:c r="O133" s="28" t="n">
        <x:f>M133*N133</x:f>
        <x:v>216</x:v>
      </x:c>
      <x:c r="P133" s="24" t="n">
        <x:v>5.78</x:v>
      </x:c>
      <x:c r="Q133" s="26" t="n">
        <x:v>0.07007465133874105</x:v>
      </x:c>
      <x:c r="R133" s="24" t="n">
        <x:f>O133*P133*Q133</x:f>
        <x:v>87.48680070339142</x:v>
      </x:c>
      <x:c r="S133" s="24" t="n">
        <x:f>P133*(1-Q133)</x:f>
        <x:v>5.374968515262077</x:v>
      </x:c>
      <x:c r="T133" s="24" t="n">
        <x:f>O133*S133</x:f>
        <x:v>1160.9931992966087</x:v>
      </x:c>
      <x:c r="U133" t="str">
        <x:v>CENTRO</x:v>
      </x:c>
      <x:c r="V133" t="str">
        <x:v>Farmacia Centro Histórico</x:v>
      </x:c>
      <x:c r="W133" t="str">
        <x:v>Zona Centro</x:v>
      </x:c>
      <x:c r="X133" t="str">
        <x:v>Quito</x:v>
      </x:c>
      <x:c r="Y133" s="32" t="str">
        <x:v>Guayaquil y Chile</x:v>
      </x:c>
      <x:c r="Z133" s="22" t="n">
        <x:v>45725</x:v>
      </x:c>
      <x:c r="AA133" t="str">
        <x:v>Recibido</x:v>
      </x:c>
      <x:c r="AB133" t="str">
        <x:v>30 días crédito</x:v>
      </x:c>
      <x:c r="AC133" s="32" t="str">
        <x:v>Entrega coordinada fuera de horario regular</x:v>
      </x:c>
    </x:row>
    <x:row r="134">
      <x:c r="A134" t="n">
        <x:v>133</x:v>
      </x:c>
      <x:c r="B134" s="22" t="n">
        <x:v>45753</x:v>
      </x:c>
      <x:c r="C134" t="str">
        <x:v>OC-2025-0133</x:v>
      </x:c>
      <x:c r="D134" t="str">
        <x:v>F-D008-202504-2651</x:v>
      </x:c>
      <x:c r="E134" t="str">
        <x:v>L2504-009-0133</x:v>
      </x:c>
      <x:c r="F134" t="str">
        <x:v>D008</x:v>
      </x:c>
      <x:c r="G134" s="32" t="str">
        <x:v>Mayorista MedicPlus</x:v>
      </x:c>
      <x:c r="H134" t="str">
        <x:v>MED009</x:v>
      </x:c>
      <x:c r="I134" s="32" t="str">
        <x:v>Losartán 50 mg</x:v>
      </x:c>
      <x:c r="J134" s="32" t="str">
        <x:v>Cardiovasculares</x:v>
      </x:c>
      <x:c r="K134" s="32" t="str">
        <x:v>Laboratorios Bagó</x:v>
      </x:c>
      <x:c r="L134" s="32" t="str">
        <x:v>Caja x 30 tabletas</x:v>
      </x:c>
      <x:c r="M134" s="28" t="n">
        <x:v>6</x:v>
      </x:c>
      <x:c r="N134" s="28" t="n">
        <x:v>30</x:v>
      </x:c>
      <x:c r="O134" s="28" t="n">
        <x:f>M134*N134</x:f>
        <x:v>180</x:v>
      </x:c>
      <x:c r="P134" s="24" t="n">
        <x:v>2.69</x:v>
      </x:c>
      <x:c r="Q134" s="26" t="n">
        <x:v>0.08203686480083827</x:v>
      </x:c>
      <x:c r="R134" s="24" t="n">
        <x:f>O134*P134*Q134</x:f>
        <x:v>39.72224993656589</x:v>
      </x:c>
      <x:c r="S134" s="24" t="n">
        <x:f>P134*(1-Q134)</x:f>
        <x:v>2.469320833685745</x:v>
      </x:c>
      <x:c r="T134" s="24" t="n">
        <x:f>O134*S134</x:f>
        <x:v>444.4777500634341</x:v>
      </x:c>
      <x:c r="U134" t="str">
        <x:v>CENTRO</x:v>
      </x:c>
      <x:c r="V134" t="str">
        <x:v>Farmacia Centro Histórico</x:v>
      </x:c>
      <x:c r="W134" t="str">
        <x:v>Zona Centro</x:v>
      </x:c>
      <x:c r="X134" t="str">
        <x:v>Quito</x:v>
      </x:c>
      <x:c r="Y134" s="32" t="str">
        <x:v>Guayaquil y Chile</x:v>
      </x:c>
      <x:c r="Z134" s="22" t="n">
        <x:v>45754</x:v>
      </x:c>
      <x:c r="AA134" t="str">
        <x:v>Recibido</x:v>
      </x:c>
      <x:c r="AB134" t="str">
        <x:v>30 días crédito</x:v>
      </x:c>
      <x:c r="AC134" s="32" t="str"/>
    </x:row>
    <x:row r="135">
      <x:c r="A135" t="n">
        <x:v>134</x:v>
      </x:c>
      <x:c r="B135" s="22" t="n">
        <x:v>46070</x:v>
      </x:c>
      <x:c r="C135" t="str">
        <x:v>OC-2026-0134</x:v>
      </x:c>
      <x:c r="D135" t="str">
        <x:v>F-D002-202602-7512</x:v>
      </x:c>
      <x:c r="E135" t="str">
        <x:v>L2602-010-0134</x:v>
      </x:c>
      <x:c r="F135" t="str">
        <x:v>D002</x:v>
      </x:c>
      <x:c r="G135" s="32" t="str">
        <x:v>MedSupply Ecuador Cía. Ltda.</x:v>
      </x:c>
      <x:c r="H135" t="str">
        <x:v>MED010</x:v>
      </x:c>
      <x:c r="I135" s="32" t="str">
        <x:v>Aspirina 100 mg</x:v>
      </x:c>
      <x:c r="J135" s="32" t="str">
        <x:v>Cardiovasculares</x:v>
      </x:c>
      <x:c r="K135" s="32" t="str">
        <x:v>Bayer</x:v>
      </x:c>
      <x:c r="L135" s="32" t="str">
        <x:v>Caja x 30 tabletas</x:v>
      </x:c>
      <x:c r="M135" s="28" t="n">
        <x:v>10</x:v>
      </x:c>
      <x:c r="N135" s="28" t="n">
        <x:v>30</x:v>
      </x:c>
      <x:c r="O135" s="28" t="n">
        <x:f>M135*N135</x:f>
        <x:v>300</x:v>
      </x:c>
      <x:c r="P135" s="24" t="n">
        <x:v>1.71</x:v>
      </x:c>
      <x:c r="Q135" s="26" t="n">
        <x:v>0.060138913110835884</x:v>
      </x:c>
      <x:c r="R135" s="24" t="n">
        <x:f>O135*P135*Q135</x:f>
        <x:v>30.85126242585881</x:v>
      </x:c>
      <x:c r="S135" s="24" t="n">
        <x:f>P135*(1-Q135)</x:f>
        <x:v>1.6071624585804707</x:v>
      </x:c>
      <x:c r="T135" s="24" t="n">
        <x:f>O135*S135</x:f>
        <x:v>482.1487375741412</x:v>
      </x:c>
      <x:c r="U135" t="str">
        <x:v>NORTE</x:v>
      </x:c>
      <x:c r="V135" t="str">
        <x:v>Farmacia Norte</x:v>
      </x:c>
      <x:c r="W135" t="str">
        <x:v>Zona Norte</x:v>
      </x:c>
      <x:c r="X135" t="str">
        <x:v>Quito</x:v>
      </x:c>
      <x:c r="Y135" s="32" t="str">
        <x:v>Av. 10 de Agosto N45-20</x:v>
      </x:c>
      <x:c r="Z135" s="22" t="n">
        <x:v>46073</x:v>
      </x:c>
      <x:c r="AA135" t="str">
        <x:v>Recibido</x:v>
      </x:c>
      <x:c r="AB135" t="str">
        <x:v>15 días crédito</x:v>
      </x:c>
      <x:c r="AC135" s="32" t="str"/>
    </x:row>
    <x:row r="136">
      <x:c r="A136" t="n">
        <x:v>135</x:v>
      </x:c>
      <x:c r="B136" s="22" t="n">
        <x:v>46260</x:v>
      </x:c>
      <x:c r="C136" t="str">
        <x:v>OC-2026-0135</x:v>
      </x:c>
      <x:c r="D136" t="str">
        <x:v>F-D007-202608-5042</x:v>
      </x:c>
      <x:c r="E136" t="str">
        <x:v>L2608-003-0135</x:v>
      </x:c>
      <x:c r="F136" t="str">
        <x:v>D007</x:v>
      </x:c>
      <x:c r="G136" s="32" t="str">
        <x:v>Comercializadora BioFarma</x:v>
      </x:c>
      <x:c r="H136" t="str">
        <x:v>MED003</x:v>
      </x:c>
      <x:c r="I136" s="32" t="str">
        <x:v>Amoxicilina 500 mg</x:v>
      </x:c>
      <x:c r="J136" s="32" t="str">
        <x:v>Antibióticos</x:v>
      </x:c>
      <x:c r="K136" s="32" t="str">
        <x:v>Acromax</x:v>
      </x:c>
      <x:c r="L136" s="32" t="str">
        <x:v>Caja x 21 cápsulas</x:v>
      </x:c>
      <x:c r="M136" s="28" t="n">
        <x:v>4</x:v>
      </x:c>
      <x:c r="N136" s="28" t="n">
        <x:v>50</x:v>
      </x:c>
      <x:c r="O136" s="28" t="n">
        <x:f>M136*N136</x:f>
        <x:v>200</x:v>
      </x:c>
      <x:c r="P136" s="24" t="n">
        <x:v>4.17</x:v>
      </x:c>
      <x:c r="Q136" s="26" t="n">
        <x:v>0.05349708645831714</x:v>
      </x:c>
      <x:c r="R136" s="24" t="n">
        <x:f>O136*P136*Q136</x:f>
        <x:v>44.616570106236495</x:v>
      </x:c>
      <x:c r="S136" s="24" t="n">
        <x:f>P136*(1-Q136)</x:f>
        <x:v>3.9469171494688173</x:v>
      </x:c>
      <x:c r="T136" s="24" t="n">
        <x:f>O136*S136</x:f>
        <x:v>789.3834298937635</x:v>
      </x:c>
      <x:c r="U136" t="str">
        <x:v>VALLE</x:v>
      </x:c>
      <x:c r="V136" t="str">
        <x:v>Farmacia Valle de los Chillos</x:v>
      </x:c>
      <x:c r="W136" t="str">
        <x:v>Zona Valle</x:v>
      </x:c>
      <x:c r="X136" t="str">
        <x:v>Sangolquí</x:v>
      </x:c>
      <x:c r="Y136" s="32" t="str">
        <x:v>Av. Calderón 101</x:v>
      </x:c>
      <x:c r="Z136" s="22" t="n">
        <x:v>46263</x:v>
      </x:c>
      <x:c r="AA136" t="str">
        <x:v>Recibido</x:v>
      </x:c>
      <x:c r="AB136" t="str">
        <x:v>15 días crédito</x:v>
      </x:c>
      <x:c r="AC136" s="32" t="str">
        <x:v>Entrega coordinada fuera de horario regular</x:v>
      </x:c>
    </x:row>
    <x:row r="137">
      <x:c r="A137" t="n">
        <x:v>136</x:v>
      </x:c>
      <x:c r="B137" s="22" t="n">
        <x:v>45815</x:v>
      </x:c>
      <x:c r="C137" t="str">
        <x:v>OC-2025-0136</x:v>
      </x:c>
      <x:c r="D137" t="str">
        <x:v>F-D007-202506-2690</x:v>
      </x:c>
      <x:c r="E137" t="str">
        <x:v>L2506-003-0136</x:v>
      </x:c>
      <x:c r="F137" t="str">
        <x:v>D007</x:v>
      </x:c>
      <x:c r="G137" s="32" t="str">
        <x:v>Comercializadora BioFarma</x:v>
      </x:c>
      <x:c r="H137" t="str">
        <x:v>MED003</x:v>
      </x:c>
      <x:c r="I137" s="32" t="str">
        <x:v>Amoxicilina 500 mg</x:v>
      </x:c>
      <x:c r="J137" s="32" t="str">
        <x:v>Antibióticos</x:v>
      </x:c>
      <x:c r="K137" s="32" t="str">
        <x:v>Acromax</x:v>
      </x:c>
      <x:c r="L137" s="32" t="str">
        <x:v>Caja x 21 cápsulas</x:v>
      </x:c>
      <x:c r="M137" s="28" t="n">
        <x:v>3</x:v>
      </x:c>
      <x:c r="N137" s="28" t="n">
        <x:v>60</x:v>
      </x:c>
      <x:c r="O137" s="28" t="n">
        <x:f>M137*N137</x:f>
        <x:v>180</x:v>
      </x:c>
      <x:c r="P137" s="24" t="n">
        <x:v>4.13</x:v>
      </x:c>
      <x:c r="Q137" s="26" t="n">
        <x:v>0.07373060549520928</x:v>
      </x:c>
      <x:c r="R137" s="24" t="n">
        <x:f>O137*P137*Q137</x:f>
        <x:v>54.81133212513858</x:v>
      </x:c>
      <x:c r="S137" s="24" t="n">
        <x:f>P137*(1-Q137)</x:f>
        <x:v>3.8254925993047855</x:v>
      </x:c>
      <x:c r="T137" s="24" t="n">
        <x:f>O137*S137</x:f>
        <x:v>688.5886678748614</x:v>
      </x:c>
      <x:c r="U137" t="str">
        <x:v>NORTE</x:v>
      </x:c>
      <x:c r="V137" t="str">
        <x:v>Farmacia Norte</x:v>
      </x:c>
      <x:c r="W137" t="str">
        <x:v>Zona Norte</x:v>
      </x:c>
      <x:c r="X137" t="str">
        <x:v>Quito</x:v>
      </x:c>
      <x:c r="Y137" s="32" t="str">
        <x:v>Av. 10 de Agosto N45-20</x:v>
      </x:c>
      <x:c r="Z137" s="22" t="n">
        <x:v>45820</x:v>
      </x:c>
      <x:c r="AA137" t="str">
        <x:v>Recibido</x:v>
      </x:c>
      <x:c r="AB137" t="str">
        <x:v>15 días crédito</x:v>
      </x:c>
      <x:c r="AC137" s="32" t="str"/>
    </x:row>
    <x:row r="138">
      <x:c r="A138" t="n">
        <x:v>137</x:v>
      </x:c>
      <x:c r="B138" s="22" t="n">
        <x:v>46172</x:v>
      </x:c>
      <x:c r="C138" t="str">
        <x:v>OC-2026-0137</x:v>
      </x:c>
      <x:c r="D138" t="str">
        <x:v>F-D007-202605-3318</x:v>
      </x:c>
      <x:c r="E138" t="str">
        <x:v>L2605-012-0137</x:v>
      </x:c>
      <x:c r="F138" t="str">
        <x:v>D007</x:v>
      </x:c>
      <x:c r="G138" s="32" t="str">
        <x:v>Comercializadora BioFarma</x:v>
      </x:c>
      <x:c r="H138" t="str">
        <x:v>MED012</x:v>
      </x:c>
      <x:c r="I138" s="32" t="str">
        <x:v>Multivitamínico adulto</x:v>
      </x:c>
      <x:c r="J138" s="32" t="str">
        <x:v>Vitaminas</x:v>
      </x:c>
      <x:c r="K138" s="32" t="str">
        <x:v>Novartis</x:v>
      </x:c>
      <x:c r="L138" s="32" t="str">
        <x:v>Frasco x 30 tabletas</x:v>
      </x:c>
      <x:c r="M138" s="28" t="n">
        <x:v>4</x:v>
      </x:c>
      <x:c r="N138" s="28" t="n">
        <x:v>60</x:v>
      </x:c>
      <x:c r="O138" s="28" t="n">
        <x:f>M138*N138</x:f>
        <x:v>240</x:v>
      </x:c>
      <x:c r="P138" s="24" t="n">
        <x:v>4.83</x:v>
      </x:c>
      <x:c r="Q138" s="26" t="n">
        <x:v>0.07396695580773639</x:v>
      </x:c>
      <x:c r="R138" s="24" t="n">
        <x:f>O138*P138*Q138</x:f>
        <x:v>85.74249517232803</x:v>
      </x:c>
      <x:c r="S138" s="24" t="n">
        <x:f>P138*(1-Q138)</x:f>
        <x:v>4.472739603448633</x:v>
      </x:c>
      <x:c r="T138" s="24" t="n">
        <x:f>O138*S138</x:f>
        <x:v>1073.457504827672</x:v>
      </x:c>
      <x:c r="U138" t="str">
        <x:v>SUR</x:v>
      </x:c>
      <x:c r="V138" t="str">
        <x:v>Farmacia del Sur</x:v>
      </x:c>
      <x:c r="W138" t="str">
        <x:v>Zona Sur</x:v>
      </x:c>
      <x:c r="X138" t="str">
        <x:v>Quito</x:v>
      </x:c>
      <x:c r="Y138" s="32" t="str">
        <x:v>Av. Maldonado S25-10</x:v>
      </x:c>
      <x:c r="Z138" s="22" t="n">
        <x:v>46174</x:v>
      </x:c>
      <x:c r="AA138" t="str">
        <x:v>Recibido</x:v>
      </x:c>
      <x:c r="AB138" t="str">
        <x:v>15 días crédito</x:v>
      </x:c>
      <x:c r="AC138" s="32" t="str"/>
    </x:row>
    <x:row r="139">
      <x:c r="A139" t="n">
        <x:v>138</x:v>
      </x:c>
      <x:c r="B139" s="22" t="n">
        <x:v>46240</x:v>
      </x:c>
      <x:c r="C139" t="str">
        <x:v>OC-2026-0138</x:v>
      </x:c>
      <x:c r="D139" t="str">
        <x:v>F-D004-202608-3249</x:v>
      </x:c>
      <x:c r="E139" t="str">
        <x:v>L2608-013-0138</x:v>
      </x:c>
      <x:c r="F139" t="str">
        <x:v>D004</x:v>
      </x:c>
      <x:c r="G139" s="32" t="str">
        <x:v>Distribuidora Salud Total</x:v>
      </x:c>
      <x:c r="H139" t="str">
        <x:v>MED013</x:v>
      </x:c>
      <x:c r="I139" s="32" t="str">
        <x:v>Probióticos</x:v>
      </x:c>
      <x:c r="J139" s="32" t="str">
        <x:v>Gastrointestinales</x:v>
      </x:c>
      <x:c r="K139" s="32" t="str">
        <x:v>Laboratorios Bagó</x:v>
      </x:c>
      <x:c r="L139" s="32" t="str">
        <x:v>Caja x 10 sobres</x:v>
      </x:c>
      <x:c r="M139" s="28" t="n">
        <x:v>5</x:v>
      </x:c>
      <x:c r="N139" s="28" t="n">
        <x:v>24</x:v>
      </x:c>
      <x:c r="O139" s="28" t="n">
        <x:f>M139*N139</x:f>
        <x:v>120</x:v>
      </x:c>
      <x:c r="P139" s="24" t="n">
        <x:v>6.38</x:v>
      </x:c>
      <x:c r="Q139" s="26" t="n">
        <x:v>0.11159556661387113</x:v>
      </x:c>
      <x:c r="R139" s="24" t="n">
        <x:f>O139*P139*Q139</x:f>
        <x:v>85.43756579957974</x:v>
      </x:c>
      <x:c r="S139" s="24" t="n">
        <x:f>P139*(1-Q139)</x:f>
        <x:v>5.668020285003502</x:v>
      </x:c>
      <x:c r="T139" s="24" t="n">
        <x:f>O139*S139</x:f>
        <x:v>680.1624342004202</x:v>
      </x:c>
      <x:c r="U139" t="str">
        <x:v>CENTRO</x:v>
      </x:c>
      <x:c r="V139" t="str">
        <x:v>Farmacia Centro Histórico</x:v>
      </x:c>
      <x:c r="W139" t="str">
        <x:v>Zona Centro</x:v>
      </x:c>
      <x:c r="X139" t="str">
        <x:v>Quito</x:v>
      </x:c>
      <x:c r="Y139" s="32" t="str">
        <x:v>Guayaquil y Chile</x:v>
      </x:c>
      <x:c r="Z139" s="22" t="n">
        <x:v>46244</x:v>
      </x:c>
      <x:c r="AA139" t="str">
        <x:v>Recibido</x:v>
      </x:c>
      <x:c r="AB139" t="str">
        <x:v>45 días crédito</x:v>
      </x:c>
      <x:c r="AC139" s="32" t="str"/>
    </x:row>
    <x:row r="140">
      <x:c r="A140" t="n">
        <x:v>139</x:v>
      </x:c>
      <x:c r="B140" s="22" t="n">
        <x:v>46191</x:v>
      </x:c>
      <x:c r="C140" t="str">
        <x:v>OC-2026-0139</x:v>
      </x:c>
      <x:c r="D140" t="str">
        <x:v>F-D005-202606-5796</x:v>
      </x:c>
      <x:c r="E140" t="str">
        <x:v>L2606-001-0139</x:v>
      </x:c>
      <x:c r="F140" t="str">
        <x:v>D005</x:v>
      </x:c>
      <x:c r="G140" s="32" t="str">
        <x:v>PharmaExpress Quito</x:v>
      </x:c>
      <x:c r="H140" t="str">
        <x:v>MED001</x:v>
      </x:c>
      <x:c r="I140" s="32" t="str">
        <x:v>Paracetamol 500 mg</x:v>
      </x:c>
      <x:c r="J140" s="32" t="str">
        <x:v>Analgésicos</x:v>
      </x:c>
      <x:c r="K140" s="32" t="str">
        <x:v>Genfar</x:v>
      </x:c>
      <x:c r="L140" s="32" t="str">
        <x:v>Caja x 20 tabletas</x:v>
      </x:c>
      <x:c r="M140" s="28" t="n">
        <x:v>5</x:v>
      </x:c>
      <x:c r="N140" s="28" t="n">
        <x:v>50</x:v>
      </x:c>
      <x:c r="O140" s="28" t="n">
        <x:f>M140*N140</x:f>
        <x:v>250</x:v>
      </x:c>
      <x:c r="P140" s="24" t="n">
        <x:v>0.79</x:v>
      </x:c>
      <x:c r="Q140" s="26" t="n">
        <x:v>0.07857610679115724</x:v>
      </x:c>
      <x:c r="R140" s="24" t="n">
        <x:f>O140*P140*Q140</x:f>
        <x:v>15.518781091253556</x:v>
      </x:c>
      <x:c r="S140" s="24" t="n">
        <x:f>P140*(1-Q140)</x:f>
        <x:v>0.7279248756349859</x:v>
      </x:c>
      <x:c r="T140" s="24" t="n">
        <x:f>O140*S140</x:f>
        <x:v>181.98121890874646</x:v>
      </x:c>
      <x:c r="U140" t="str">
        <x:v>NORTE</x:v>
      </x:c>
      <x:c r="V140" t="str">
        <x:v>Farmacia Norte</x:v>
      </x:c>
      <x:c r="W140" t="str">
        <x:v>Zona Norte</x:v>
      </x:c>
      <x:c r="X140" t="str">
        <x:v>Quito</x:v>
      </x:c>
      <x:c r="Y140" s="32" t="str">
        <x:v>Av. 10 de Agosto N45-20</x:v>
      </x:c>
      <x:c r="Z140" s="22" t="n">
        <x:v>46193</x:v>
      </x:c>
      <x:c r="AA140" t="str">
        <x:v>Recibido</x:v>
      </x:c>
      <x:c r="AB140" t="str">
        <x:v>30 días crédito</x:v>
      </x:c>
      <x:c r="AC140" s="32" t="str">
        <x:v>Entrega coordinada fuera de horario regular</x:v>
      </x:c>
    </x:row>
    <x:row r="141">
      <x:c r="A141" t="n">
        <x:v>140</x:v>
      </x:c>
      <x:c r="B141" s="22" t="n">
        <x:v>46318</x:v>
      </x:c>
      <x:c r="C141" t="str">
        <x:v>OC-2026-0140</x:v>
      </x:c>
      <x:c r="D141" t="str">
        <x:v>F-D003-202610-1031</x:v>
      </x:c>
      <x:c r="E141" t="str">
        <x:v>L2610-005-0140</x:v>
      </x:c>
      <x:c r="F141" t="str">
        <x:v>D003</x:v>
      </x:c>
      <x:c r="G141" s="32" t="str">
        <x:v>FarmaLogística Sierra</x:v>
      </x:c>
      <x:c r="H141" t="str">
        <x:v>MED005</x:v>
      </x:c>
      <x:c r="I141" s="32" t="str">
        <x:v>Loratadina 10 mg</x:v>
      </x:c>
      <x:c r="J141" s="32" t="str">
        <x:v>Antigripales</x:v>
      </x:c>
      <x:c r="K141" s="32" t="str">
        <x:v>Genfar</x:v>
      </x:c>
      <x:c r="L141" s="32" t="str">
        <x:v>Caja x 10 tabletas</x:v>
      </x:c>
      <x:c r="M141" s="28" t="n">
        <x:v>18</x:v>
      </x:c>
      <x:c r="N141" s="28" t="n">
        <x:v>10</x:v>
      </x:c>
      <x:c r="O141" s="28" t="n">
        <x:f>M141*N141</x:f>
        <x:v>180</x:v>
      </x:c>
      <x:c r="P141" s="24" t="n">
        <x:v>0.99</x:v>
      </x:c>
      <x:c r="Q141" s="26" t="n">
        <x:v>0.0520528082640074</x:v>
      </x:c>
      <x:c r="R141" s="24" t="n">
        <x:f>O141*P141*Q141</x:f>
        <x:v>9.275810432646118</x:v>
      </x:c>
      <x:c r="S141" s="24" t="n">
        <x:f>P141*(1-Q141)</x:f>
        <x:v>0.9384677198186326</x:v>
      </x:c>
      <x:c r="T141" s="24" t="n">
        <x:f>O141*S141</x:f>
        <x:v>168.92418956735386</x:v>
      </x:c>
      <x:c r="U141" t="str">
        <x:v>NORTE</x:v>
      </x:c>
      <x:c r="V141" t="str">
        <x:v>Farmacia Norte</x:v>
      </x:c>
      <x:c r="W141" t="str">
        <x:v>Zona Norte</x:v>
      </x:c>
      <x:c r="X141" t="str">
        <x:v>Quito</x:v>
      </x:c>
      <x:c r="Y141" s="32" t="str">
        <x:v>Av. 10 de Agosto N45-20</x:v>
      </x:c>
      <x:c r="Z141" s="22" t="n">
        <x:v>46319</x:v>
      </x:c>
      <x:c r="AA141" t="str">
        <x:v>Recibido</x:v>
      </x:c>
      <x:c r="AB141" t="str">
        <x:v>Contado contra entrega</x:v>
      </x:c>
      <x:c r="AC141" s="32" t="str">
        <x:v>Entrega coordinada fuera de horario regular</x:v>
      </x:c>
    </x:row>
    <x:row r="142">
      <x:c r="A142" t="n">
        <x:v>141</x:v>
      </x:c>
      <x:c r="B142" s="22" t="n">
        <x:v>46237</x:v>
      </x:c>
      <x:c r="C142" t="str">
        <x:v>OC-2026-0141</x:v>
      </x:c>
      <x:c r="D142" t="str">
        <x:v>F-D006-202608-6632</x:v>
      </x:c>
      <x:c r="E142" t="str">
        <x:v>L2608-008-0141</x:v>
      </x:c>
      <x:c r="F142" t="str">
        <x:v>D006</x:v>
      </x:c>
      <x:c r="G142" s="32" t="str">
        <x:v>Insumos Médicos del Pacífico</x:v>
      </x:c>
      <x:c r="H142" t="str">
        <x:v>MED008</x:v>
      </x:c>
      <x:c r="I142" s="32" t="str">
        <x:v>Diclofenaco gel</x:v>
      </x:c>
      <x:c r="J142" s="32" t="str">
        <x:v>Dermatológicos</x:v>
      </x:c>
      <x:c r="K142" s="32" t="str">
        <x:v>Bayer</x:v>
      </x:c>
      <x:c r="L142" s="32" t="str">
        <x:v>Tubo 50 g</x:v>
      </x:c>
      <x:c r="M142" s="28" t="n">
        <x:v>15</x:v>
      </x:c>
      <x:c r="N142" s="28" t="n">
        <x:v>10</x:v>
      </x:c>
      <x:c r="O142" s="28" t="n">
        <x:f>M142*N142</x:f>
        <x:v>150</x:v>
      </x:c>
      <x:c r="P142" s="24" t="n">
        <x:v>2.2</x:v>
      </x:c>
      <x:c r="Q142" s="26" t="n">
        <x:v>0.14829361473566238</x:v>
      </x:c>
      <x:c r="R142" s="24" t="n">
        <x:f>O142*P142*Q142</x:f>
        <x:v>48.93689286276859</x:v>
      </x:c>
      <x:c r="S142" s="24" t="n">
        <x:f>P142*(1-Q142)</x:f>
        <x:v>1.8737540475815428</x:v>
      </x:c>
      <x:c r="T142" s="24" t="n">
        <x:f>O142*S142</x:f>
        <x:v>281.06310713723144</x:v>
      </x:c>
      <x:c r="U142" t="str">
        <x:v>VALLE</x:v>
      </x:c>
      <x:c r="V142" t="str">
        <x:v>Farmacia Valle de los Chillos</x:v>
      </x:c>
      <x:c r="W142" t="str">
        <x:v>Zona Valle</x:v>
      </x:c>
      <x:c r="X142" t="str">
        <x:v>Sangolquí</x:v>
      </x:c>
      <x:c r="Y142" s="32" t="str">
        <x:v>Av. Calderón 101</x:v>
      </x:c>
      <x:c r="Z142" s="22" t="n">
        <x:v>46242</x:v>
      </x:c>
      <x:c r="AA142" t="str">
        <x:v>Recibido</x:v>
      </x:c>
      <x:c r="AB142" t="str">
        <x:v>60 días crédito</x:v>
      </x:c>
      <x:c r="AC142" s="32" t="str">
        <x:v>Descuento por volumen</x:v>
      </x:c>
    </x:row>
    <x:row r="143">
      <x:c r="A143" t="n">
        <x:v>142</x:v>
      </x:c>
      <x:c r="B143" s="22" t="n">
        <x:v>45906</x:v>
      </x:c>
      <x:c r="C143" t="str">
        <x:v>OC-2025-0142</x:v>
      </x:c>
      <x:c r="D143" t="str">
        <x:v>F-D001-202509-2855</x:v>
      </x:c>
      <x:c r="E143" t="str">
        <x:v>L2509-007-0142</x:v>
      </x:c>
      <x:c r="F143" t="str">
        <x:v>D001</x:v>
      </x:c>
      <x:c r="G143" s="32" t="str">
        <x:v>DistriFarma Andina S.A.</x:v>
      </x:c>
      <x:c r="H143" t="str">
        <x:v>MED007</x:v>
      </x:c>
      <x:c r="I143" s="32" t="str">
        <x:v>Omeprazol 20 mg</x:v>
      </x:c>
      <x:c r="J143" s="32" t="str">
        <x:v>Gastrointestinales</x:v>
      </x:c>
      <x:c r="K143" s="32" t="str">
        <x:v>La Santé</x:v>
      </x:c>
      <x:c r="L143" s="32" t="str">
        <x:v>Caja x 30 cápsulas</x:v>
      </x:c>
      <x:c r="M143" s="28" t="n">
        <x:v>20</x:v>
      </x:c>
      <x:c r="N143" s="28" t="n">
        <x:v>24</x:v>
      </x:c>
      <x:c r="O143" s="28" t="n">
        <x:f>M143*N143</x:f>
        <x:v>480</x:v>
      </x:c>
      <x:c r="P143" s="24" t="n">
        <x:v>2.54</x:v>
      </x:c>
      <x:c r="Q143" s="26" t="n">
        <x:v>0.0950717616268123</x:v>
      </x:c>
      <x:c r="R143" s="24" t="n">
        <x:f>O143*P143*Q143</x:f>
        <x:v>115.91149177540956</x:v>
      </x:c>
      <x:c r="S143" s="24" t="n">
        <x:f>P143*(1-Q143)</x:f>
        <x:v>2.298517725467897</x:v>
      </x:c>
      <x:c r="T143" s="24" t="n">
        <x:f>O143*S143</x:f>
        <x:v>1103.2885082245905</x:v>
      </x:c>
      <x:c r="U143" t="str">
        <x:v>NORTE</x:v>
      </x:c>
      <x:c r="V143" t="str">
        <x:v>Farmacia Norte</x:v>
      </x:c>
      <x:c r="W143" t="str">
        <x:v>Zona Norte</x:v>
      </x:c>
      <x:c r="X143" t="str">
        <x:v>Quito</x:v>
      </x:c>
      <x:c r="Y143" s="32" t="str">
        <x:v>Av. 10 de Agosto N45-20</x:v>
      </x:c>
      <x:c r="Z143" s="22" t="n">
        <x:v>45909</x:v>
      </x:c>
      <x:c r="AA143" t="str">
        <x:v>Recibido</x:v>
      </x:c>
      <x:c r="AB143" t="str">
        <x:v>30 días crédito</x:v>
      </x:c>
      <x:c r="AC143" s="32" t="str"/>
    </x:row>
    <x:row r="144">
      <x:c r="A144" t="n">
        <x:v>143</x:v>
      </x:c>
      <x:c r="B144" s="22" t="n">
        <x:v>46357</x:v>
      </x:c>
      <x:c r="C144" t="str">
        <x:v>OC-2026-0143</x:v>
      </x:c>
      <x:c r="D144" t="str">
        <x:v>F-D003-202612-6436</x:v>
      </x:c>
      <x:c r="E144" t="str">
        <x:v>L2612-005-0143</x:v>
      </x:c>
      <x:c r="F144" t="str">
        <x:v>D003</x:v>
      </x:c>
      <x:c r="G144" s="32" t="str">
        <x:v>FarmaLogística Sierra</x:v>
      </x:c>
      <x:c r="H144" t="str">
        <x:v>MED005</x:v>
      </x:c>
      <x:c r="I144" s="32" t="str">
        <x:v>Loratadina 10 mg</x:v>
      </x:c>
      <x:c r="J144" s="32" t="str">
        <x:v>Antigripales</x:v>
      </x:c>
      <x:c r="K144" s="32" t="str">
        <x:v>Genfar</x:v>
      </x:c>
      <x:c r="L144" s="32" t="str">
        <x:v>Caja x 10 tabletas</x:v>
      </x:c>
      <x:c r="M144" s="28" t="n">
        <x:v>8</x:v>
      </x:c>
      <x:c r="N144" s="28" t="n">
        <x:v>60</x:v>
      </x:c>
      <x:c r="O144" s="28" t="n">
        <x:f>M144*N144</x:f>
        <x:v>480</x:v>
      </x:c>
      <x:c r="P144" s="24" t="n">
        <x:v>1.14</x:v>
      </x:c>
      <x:c r="Q144" s="26" t="n">
        <x:v>0.05458825630616097</x:v>
      </x:c>
      <x:c r="R144" s="24" t="n">
        <x:f>O144*P144*Q144</x:f>
        <x:v>29.870693850731282</x:v>
      </x:c>
      <x:c r="S144" s="24" t="n">
        <x:f>P144*(1-Q144)</x:f>
        <x:v>1.0777693878109764</x:v>
      </x:c>
      <x:c r="T144" s="24" t="n">
        <x:f>O144*S144</x:f>
        <x:v>517.3293061492686</x:v>
      </x:c>
      <x:c r="U144" t="str">
        <x:v>SUR</x:v>
      </x:c>
      <x:c r="V144" t="str">
        <x:v>Farmacia del Sur</x:v>
      </x:c>
      <x:c r="W144" t="str">
        <x:v>Zona Sur</x:v>
      </x:c>
      <x:c r="X144" t="str">
        <x:v>Quito</x:v>
      </x:c>
      <x:c r="Y144" s="32" t="str">
        <x:v>Av. Maldonado S25-10</x:v>
      </x:c>
      <x:c r="Z144" s="22" t="n">
        <x:v>46362</x:v>
      </x:c>
      <x:c r="AA144" t="str">
        <x:v>Recibido</x:v>
      </x:c>
      <x:c r="AB144" t="str">
        <x:v>Contado contra entrega</x:v>
      </x:c>
      <x:c r="AC144" s="32" t="str">
        <x:v>Entrega coordinada fuera de horario regular</x:v>
      </x:c>
    </x:row>
    <x:row r="145">
      <x:c r="A145" t="n">
        <x:v>144</x:v>
      </x:c>
      <x:c r="B145" s="22" t="n">
        <x:v>46297</x:v>
      </x:c>
      <x:c r="C145" t="str">
        <x:v>OC-2026-0144</x:v>
      </x:c>
      <x:c r="D145" t="str">
        <x:v>F-D007-202610-8742</x:v>
      </x:c>
      <x:c r="E145" t="str">
        <x:v>L2610-011-0144</x:v>
      </x:c>
      <x:c r="F145" t="str">
        <x:v>D007</x:v>
      </x:c>
      <x:c r="G145" s="32" t="str">
        <x:v>Comercializadora BioFarma</x:v>
      </x:c>
      <x:c r="H145" t="str">
        <x:v>MED011</x:v>
      </x:c>
      <x:c r="I145" s="32" t="str">
        <x:v>Jarabe antigripal</x:v>
      </x:c>
      <x:c r="J145" s="32" t="str">
        <x:v>Antigripales</x:v>
      </x:c>
      <x:c r="K145" s="32" t="str">
        <x:v>MEDICAMENTA</x:v>
      </x:c>
      <x:c r="L145" s="32" t="str">
        <x:v>Frasco 120 ml</x:v>
      </x:c>
      <x:c r="M145" s="28" t="n">
        <x:v>5</x:v>
      </x:c>
      <x:c r="N145" s="28" t="n">
        <x:v>50</x:v>
      </x:c>
      <x:c r="O145" s="28" t="n">
        <x:f>M145*N145</x:f>
        <x:v>250</x:v>
      </x:c>
      <x:c r="P145" s="24" t="n">
        <x:v>2.78</x:v>
      </x:c>
      <x:c r="Q145" s="26" t="n">
        <x:v>0.05217525819533865</x:v>
      </x:c>
      <x:c r="R145" s="24" t="n">
        <x:f>O145*P145*Q145</x:f>
        <x:v>36.26180444576036</x:v>
      </x:c>
      <x:c r="S145" s="24" t="n">
        <x:f>P145*(1-Q145)</x:f>
        <x:v>2.6349527822169585</x:v>
      </x:c>
      <x:c r="T145" s="24" t="n">
        <x:f>O145*S145</x:f>
        <x:v>658.7381955542396</x:v>
      </x:c>
      <x:c r="U145" t="str">
        <x:v>SUR</x:v>
      </x:c>
      <x:c r="V145" t="str">
        <x:v>Farmacia del Sur</x:v>
      </x:c>
      <x:c r="W145" t="str">
        <x:v>Zona Sur</x:v>
      </x:c>
      <x:c r="X145" t="str">
        <x:v>Quito</x:v>
      </x:c>
      <x:c r="Y145" s="32" t="str">
        <x:v>Av. Maldonado S25-10</x:v>
      </x:c>
      <x:c r="Z145" s="22" t="n">
        <x:v>46299</x:v>
      </x:c>
      <x:c r="AA145" t="str">
        <x:v>Recibido</x:v>
      </x:c>
      <x:c r="AB145" t="str">
        <x:v>15 días crédito</x:v>
      </x:c>
      <x:c r="AC145" s="32" t="str">
        <x:v>Entrega coordinada fuera de horario regular</x:v>
      </x:c>
    </x:row>
    <x:row r="146">
      <x:c r="A146" t="n">
        <x:v>145</x:v>
      </x:c>
      <x:c r="B146" s="22" t="n">
        <x:v>45940</x:v>
      </x:c>
      <x:c r="C146" t="str">
        <x:v>OC-2025-0145</x:v>
      </x:c>
      <x:c r="D146" t="str">
        <x:v>F-D005-202510-5732</x:v>
      </x:c>
      <x:c r="E146" t="str">
        <x:v>L2510-005-0145</x:v>
      </x:c>
      <x:c r="F146" t="str">
        <x:v>D005</x:v>
      </x:c>
      <x:c r="G146" s="32" t="str">
        <x:v>PharmaExpress Quito</x:v>
      </x:c>
      <x:c r="H146" t="str">
        <x:v>MED005</x:v>
      </x:c>
      <x:c r="I146" s="32" t="str">
        <x:v>Loratadina 10 mg</x:v>
      </x:c>
      <x:c r="J146" s="32" t="str">
        <x:v>Antigripales</x:v>
      </x:c>
      <x:c r="K146" s="32" t="str">
        <x:v>Genfar</x:v>
      </x:c>
      <x:c r="L146" s="32" t="str">
        <x:v>Caja x 10 tabletas</x:v>
      </x:c>
      <x:c r="M146" s="28" t="n">
        <x:v>3</x:v>
      </x:c>
      <x:c r="N146" s="28" t="n">
        <x:v>50</x:v>
      </x:c>
      <x:c r="O146" s="28" t="n">
        <x:f>M146*N146</x:f>
        <x:v>150</x:v>
      </x:c>
      <x:c r="P146" s="24" t="n">
        <x:v>0.93</x:v>
      </x:c>
      <x:c r="Q146" s="26" t="n">
        <x:v>0.10274420206865993</x:v>
      </x:c>
      <x:c r="R146" s="24" t="n">
        <x:f>O146*P146*Q146</x:f>
        <x:v>14.332816188578061</x:v>
      </x:c>
      <x:c r="S146" s="24" t="n">
        <x:f>P146*(1-Q146)</x:f>
        <x:v>0.8344478920761462</x:v>
      </x:c>
      <x:c r="T146" s="24" t="n">
        <x:f>O146*S146</x:f>
        <x:v>125.16718381142194</x:v>
      </x:c>
      <x:c r="U146" t="str">
        <x:v>CENTRO</x:v>
      </x:c>
      <x:c r="V146" t="str">
        <x:v>Farmacia Centro Histórico</x:v>
      </x:c>
      <x:c r="W146" t="str">
        <x:v>Zona Centro</x:v>
      </x:c>
      <x:c r="X146" t="str">
        <x:v>Quito</x:v>
      </x:c>
      <x:c r="Y146" s="32" t="str">
        <x:v>Guayaquil y Chile</x:v>
      </x:c>
      <x:c r="Z146" s="22" t="n">
        <x:v>45943</x:v>
      </x:c>
      <x:c r="AA146" t="str">
        <x:v>Recibido</x:v>
      </x:c>
      <x:c r="AB146" t="str">
        <x:v>30 días crédito</x:v>
      </x:c>
      <x:c r="AC146" s="32" t="str"/>
    </x:row>
    <x:row r="147">
      <x:c r="A147" t="n">
        <x:v>146</x:v>
      </x:c>
      <x:c r="B147" s="22" t="n">
        <x:v>45911</x:v>
      </x:c>
      <x:c r="C147" t="str">
        <x:v>OC-2025-0146</x:v>
      </x:c>
      <x:c r="D147" t="str">
        <x:v>F-D001-202509-2586</x:v>
      </x:c>
      <x:c r="E147" t="str">
        <x:v>L2509-002-0146</x:v>
      </x:c>
      <x:c r="F147" t="str">
        <x:v>D001</x:v>
      </x:c>
      <x:c r="G147" s="32" t="str">
        <x:v>DistriFarma Andina S.A.</x:v>
      </x:c>
      <x:c r="H147" t="str">
        <x:v>MED002</x:v>
      </x:c>
      <x:c r="I147" s="32" t="str">
        <x:v>Ibuprofeno 400 mg</x:v>
      </x:c>
      <x:c r="J147" s="32" t="str">
        <x:v>Analgésicos</x:v>
      </x:c>
      <x:c r="K147" s="32" t="str">
        <x:v>La Santé</x:v>
      </x:c>
      <x:c r="L147" s="32" t="str">
        <x:v>Caja x 20 tabletas</x:v>
      </x:c>
      <x:c r="M147" s="28" t="n">
        <x:v>2</x:v>
      </x:c>
      <x:c r="N147" s="28" t="n">
        <x:v>50</x:v>
      </x:c>
      <x:c r="O147" s="28" t="n">
        <x:f>M147*N147</x:f>
        <x:v>100</x:v>
      </x:c>
      <x:c r="P147" s="24" t="n">
        <x:v>1.28</x:v>
      </x:c>
      <x:c r="Q147" s="26" t="n">
        <x:v>0.08005392284690116</x:v>
      </x:c>
      <x:c r="R147" s="24" t="n">
        <x:f>O147*P147*Q147</x:f>
        <x:v>10.246902124403348</x:v>
      </x:c>
      <x:c r="S147" s="24" t="n">
        <x:f>P147*(1-Q147)</x:f>
        <x:v>1.1775309787559665</x:v>
      </x:c>
      <x:c r="T147" s="24" t="n">
        <x:f>O147*S147</x:f>
        <x:v>117.75309787559665</x:v>
      </x:c>
      <x:c r="U147" t="str">
        <x:v>VALLE</x:v>
      </x:c>
      <x:c r="V147" t="str">
        <x:v>Farmacia Valle de los Chillos</x:v>
      </x:c>
      <x:c r="W147" t="str">
        <x:v>Zona Valle</x:v>
      </x:c>
      <x:c r="X147" t="str">
        <x:v>Sangolquí</x:v>
      </x:c>
      <x:c r="Y147" s="32" t="str">
        <x:v>Av. Calderón 101</x:v>
      </x:c>
      <x:c r="Z147" s="22" t="n">
        <x:v>45914</x:v>
      </x:c>
      <x:c r="AA147" t="str">
        <x:v>Recibido</x:v>
      </x:c>
      <x:c r="AB147" t="str">
        <x:v>30 días crédito</x:v>
      </x:c>
      <x:c r="AC147" s="32" t="str">
        <x:v>Entrega coordinada fuera de horario regular</x:v>
      </x:c>
    </x:row>
    <x:row r="148">
      <x:c r="A148" t="n">
        <x:v>147</x:v>
      </x:c>
      <x:c r="B148" s="22" t="n">
        <x:v>46030</x:v>
      </x:c>
      <x:c r="C148" t="str">
        <x:v>OC-2026-0147</x:v>
      </x:c>
      <x:c r="D148" t="str">
        <x:v>F-D006-202601-9101</x:v>
      </x:c>
      <x:c r="E148" t="str">
        <x:v>L2601-008-0147</x:v>
      </x:c>
      <x:c r="F148" t="str">
        <x:v>D006</x:v>
      </x:c>
      <x:c r="G148" s="32" t="str">
        <x:v>Insumos Médicos del Pacífico</x:v>
      </x:c>
      <x:c r="H148" t="str">
        <x:v>MED008</x:v>
      </x:c>
      <x:c r="I148" s="32" t="str">
        <x:v>Diclofenaco gel</x:v>
      </x:c>
      <x:c r="J148" s="32" t="str">
        <x:v>Dermatológicos</x:v>
      </x:c>
      <x:c r="K148" s="32" t="str">
        <x:v>Bayer</x:v>
      </x:c>
      <x:c r="L148" s="32" t="str">
        <x:v>Tubo 50 g</x:v>
      </x:c>
      <x:c r="M148" s="28" t="n">
        <x:v>15</x:v>
      </x:c>
      <x:c r="N148" s="28" t="n">
        <x:v>24</x:v>
      </x:c>
      <x:c r="O148" s="28" t="n">
        <x:f>M148*N148</x:f>
        <x:v>360</x:v>
      </x:c>
      <x:c r="P148" s="24" t="n">
        <x:v>2.16</x:v>
      </x:c>
      <x:c r="Q148" s="26" t="n">
        <x:v>0.12362503632677203</x:v>
      </x:c>
      <x:c r="R148" s="24" t="n">
        <x:f>O148*P148*Q148</x:f>
        <x:v>96.13082824769793</x:v>
      </x:c>
      <x:c r="S148" s="24" t="n">
        <x:f>P148*(1-Q148)</x:f>
        <x:v>1.8929699215341727</x:v>
      </x:c>
      <x:c r="T148" s="24" t="n">
        <x:f>O148*S148</x:f>
        <x:v>681.4691717523021</x:v>
      </x:c>
      <x:c r="U148" t="str">
        <x:v>NORTE</x:v>
      </x:c>
      <x:c r="V148" t="str">
        <x:v>Farmacia Norte</x:v>
      </x:c>
      <x:c r="W148" t="str">
        <x:v>Zona Norte</x:v>
      </x:c>
      <x:c r="X148" t="str">
        <x:v>Quito</x:v>
      </x:c>
      <x:c r="Y148" s="32" t="str">
        <x:v>Av. 10 de Agosto N45-20</x:v>
      </x:c>
      <x:c r="Z148" s="22" t="n">
        <x:v>46033</x:v>
      </x:c>
      <x:c r="AA148" t="str">
        <x:v>Recibido</x:v>
      </x:c>
      <x:c r="AB148" t="str">
        <x:v>60 días crédito</x:v>
      </x:c>
      <x:c r="AC148" s="32" t="str">
        <x:v>Entrega coordinada fuera de horario regular</x:v>
      </x:c>
    </x:row>
    <x:row r="149">
      <x:c r="A149" t="n">
        <x:v>148</x:v>
      </x:c>
      <x:c r="B149" s="22" t="n">
        <x:v>46322</x:v>
      </x:c>
      <x:c r="C149" t="str">
        <x:v>OC-2026-0148</x:v>
      </x:c>
      <x:c r="D149" t="str">
        <x:v>F-D006-202610-7655</x:v>
      </x:c>
      <x:c r="E149" t="str">
        <x:v>L2610-008-0148</x:v>
      </x:c>
      <x:c r="F149" t="str">
        <x:v>D006</x:v>
      </x:c>
      <x:c r="G149" s="32" t="str">
        <x:v>Insumos Médicos del Pacífico</x:v>
      </x:c>
      <x:c r="H149" t="str">
        <x:v>MED008</x:v>
      </x:c>
      <x:c r="I149" s="32" t="str">
        <x:v>Diclofenaco gel</x:v>
      </x:c>
      <x:c r="J149" s="32" t="str">
        <x:v>Dermatológicos</x:v>
      </x:c>
      <x:c r="K149" s="32" t="str">
        <x:v>Bayer</x:v>
      </x:c>
      <x:c r="L149" s="32" t="str">
        <x:v>Tubo 50 g</x:v>
      </x:c>
      <x:c r="M149" s="28" t="n">
        <x:v>8</x:v>
      </x:c>
      <x:c r="N149" s="28" t="n">
        <x:v>50</x:v>
      </x:c>
      <x:c r="O149" s="28" t="n">
        <x:f>M149*N149</x:f>
        <x:v>400</x:v>
      </x:c>
      <x:c r="P149" s="24" t="n">
        <x:v>2.39</x:v>
      </x:c>
      <x:c r="Q149" s="26" t="n">
        <x:v>0.11850424910127394</x:v>
      </x:c>
      <x:c r="R149" s="24" t="n">
        <x:f>O149*P149*Q149</x:f>
        <x:v>113.29006214081788</x:v>
      </x:c>
      <x:c r="S149" s="24" t="n">
        <x:f>P149*(1-Q149)</x:f>
        <x:v>2.1067748446479553</x:v>
      </x:c>
      <x:c r="T149" s="24" t="n">
        <x:f>O149*S149</x:f>
        <x:v>842.7099378591821</x:v>
      </x:c>
      <x:c r="U149" t="str">
        <x:v>CENTRO</x:v>
      </x:c>
      <x:c r="V149" t="str">
        <x:v>Farmacia Centro Histórico</x:v>
      </x:c>
      <x:c r="W149" t="str">
        <x:v>Zona Centro</x:v>
      </x:c>
      <x:c r="X149" t="str">
        <x:v>Quito</x:v>
      </x:c>
      <x:c r="Y149" s="32" t="str">
        <x:v>Guayaquil y Chile</x:v>
      </x:c>
      <x:c r="Z149" s="22" t="n">
        <x:v>46323</x:v>
      </x:c>
      <x:c r="AA149" t="str">
        <x:v>Recibido</x:v>
      </x:c>
      <x:c r="AB149" t="str">
        <x:v>60 días crédito</x:v>
      </x:c>
      <x:c r="AC149" s="32" t="str"/>
    </x:row>
    <x:row r="150">
      <x:c r="A150" t="n">
        <x:v>149</x:v>
      </x:c>
      <x:c r="B150" s="22" t="n">
        <x:v>46285</x:v>
      </x:c>
      <x:c r="C150" t="str">
        <x:v>OC-2026-0149</x:v>
      </x:c>
      <x:c r="D150" t="str">
        <x:v>F-D001-202609-1216</x:v>
      </x:c>
      <x:c r="E150" t="str">
        <x:v>L2609-005-0149</x:v>
      </x:c>
      <x:c r="F150" t="str">
        <x:v>D001</x:v>
      </x:c>
      <x:c r="G150" s="32" t="str">
        <x:v>DistriFarma Andina S.A.</x:v>
      </x:c>
      <x:c r="H150" t="str">
        <x:v>MED005</x:v>
      </x:c>
      <x:c r="I150" s="32" t="str">
        <x:v>Loratadina 10 mg</x:v>
      </x:c>
      <x:c r="J150" s="32" t="str">
        <x:v>Antigripales</x:v>
      </x:c>
      <x:c r="K150" s="32" t="str">
        <x:v>Genfar</x:v>
      </x:c>
      <x:c r="L150" s="32" t="str">
        <x:v>Caja x 10 tabletas</x:v>
      </x:c>
      <x:c r="M150" s="28" t="n">
        <x:v>20</x:v>
      </x:c>
      <x:c r="N150" s="28" t="n">
        <x:v>30</x:v>
      </x:c>
      <x:c r="O150" s="28" t="n">
        <x:f>M150*N150</x:f>
        <x:v>600</x:v>
      </x:c>
      <x:c r="P150" s="24" t="n">
        <x:v>0.94</x:v>
      </x:c>
      <x:c r="Q150" s="26" t="n">
        <x:v>0.09570427611084135</x:v>
      </x:c>
      <x:c r="R150" s="24" t="n">
        <x:f>O150*P150*Q150</x:f>
        <x:v>53.977211726514525</x:v>
      </x:c>
      <x:c r="S150" s="24" t="n">
        <x:f>P150*(1-Q150)</x:f>
        <x:v>0.8500379804558091</x:v>
      </x:c>
      <x:c r="T150" s="24" t="n">
        <x:f>O150*S150</x:f>
        <x:v>510.0227882734855</x:v>
      </x:c>
      <x:c r="U150" t="str">
        <x:v>SUR</x:v>
      </x:c>
      <x:c r="V150" t="str">
        <x:v>Farmacia del Sur</x:v>
      </x:c>
      <x:c r="W150" t="str">
        <x:v>Zona Sur</x:v>
      </x:c>
      <x:c r="X150" t="str">
        <x:v>Quito</x:v>
      </x:c>
      <x:c r="Y150" s="32" t="str">
        <x:v>Av. Maldonado S25-10</x:v>
      </x:c>
      <x:c r="Z150" s="22" t="n">
        <x:v>46286</x:v>
      </x:c>
      <x:c r="AA150" t="str">
        <x:v>Recibido</x:v>
      </x:c>
      <x:c r="AB150" t="str">
        <x:v>30 días crédito</x:v>
      </x:c>
      <x:c r="AC150" s="32" t="str"/>
    </x:row>
    <x:row r="151">
      <x:c r="A151" t="n">
        <x:v>150</x:v>
      </x:c>
      <x:c r="B151" s="22" t="n">
        <x:v>46368</x:v>
      </x:c>
      <x:c r="C151" t="str">
        <x:v>OC-2026-0150</x:v>
      </x:c>
      <x:c r="D151" t="str">
        <x:v>F-D006-202612-2995</x:v>
      </x:c>
      <x:c r="E151" t="str">
        <x:v>L2612-008-0150</x:v>
      </x:c>
      <x:c r="F151" t="str">
        <x:v>D006</x:v>
      </x:c>
      <x:c r="G151" s="32" t="str">
        <x:v>Insumos Médicos del Pacífico</x:v>
      </x:c>
      <x:c r="H151" t="str">
        <x:v>MED008</x:v>
      </x:c>
      <x:c r="I151" s="32" t="str">
        <x:v>Diclofenaco gel</x:v>
      </x:c>
      <x:c r="J151" s="32" t="str">
        <x:v>Dermatológicos</x:v>
      </x:c>
      <x:c r="K151" s="32" t="str">
        <x:v>Bayer</x:v>
      </x:c>
      <x:c r="L151" s="32" t="str">
        <x:v>Tubo 50 g</x:v>
      </x:c>
      <x:c r="M151" s="28" t="n">
        <x:v>4</x:v>
      </x:c>
      <x:c r="N151" s="28" t="n">
        <x:v>50</x:v>
      </x:c>
      <x:c r="O151" s="28" t="n">
        <x:f>M151*N151</x:f>
        <x:v>200</x:v>
      </x:c>
      <x:c r="P151" s="24" t="n">
        <x:v>2.02</x:v>
      </x:c>
      <x:c r="Q151" s="26" t="n">
        <x:v>0.1409793111766043</x:v>
      </x:c>
      <x:c r="R151" s="24" t="n">
        <x:f>O151*P151*Q151</x:f>
        <x:v>56.95564171534814</x:v>
      </x:c>
      <x:c r="S151" s="24" t="n">
        <x:f>P151*(1-Q151)</x:f>
        <x:v>1.7352217914232593</x:v>
      </x:c>
      <x:c r="T151" s="24" t="n">
        <x:f>O151*S151</x:f>
        <x:v>347.0443582846519</x:v>
      </x:c>
      <x:c r="U151" t="str">
        <x:v>CENTRO</x:v>
      </x:c>
      <x:c r="V151" t="str">
        <x:v>Farmacia Centro Histórico</x:v>
      </x:c>
      <x:c r="W151" t="str">
        <x:v>Zona Centro</x:v>
      </x:c>
      <x:c r="X151" t="str">
        <x:v>Quito</x:v>
      </x:c>
      <x:c r="Y151" s="32" t="str">
        <x:v>Guayaquil y Chile</x:v>
      </x:c>
      <x:c r="Z151" s="22" t="n">
        <x:v>46370</x:v>
      </x:c>
      <x:c r="AA151" t="str">
        <x:v>Recibido</x:v>
      </x:c>
      <x:c r="AB151" t="str">
        <x:v>60 días crédito</x:v>
      </x:c>
      <x:c r="AC151" s="32" t="str">
        <x:v>Descuento por volumen</x:v>
      </x:c>
    </x:row>
    <x:row r="152">
      <x:c r="A152" t="n">
        <x:v>151</x:v>
      </x:c>
      <x:c r="B152" s="22" t="n">
        <x:v>45841</x:v>
      </x:c>
      <x:c r="C152" t="str">
        <x:v>OC-2025-0151</x:v>
      </x:c>
      <x:c r="D152" t="str">
        <x:v>F-D002-202507-3454</x:v>
      </x:c>
      <x:c r="E152" t="str">
        <x:v>L2507-006-0151</x:v>
      </x:c>
      <x:c r="F152" t="str">
        <x:v>D002</x:v>
      </x:c>
      <x:c r="G152" s="32" t="str">
        <x:v>MedSupply Ecuador Cía. Ltda.</x:v>
      </x:c>
      <x:c r="H152" t="str">
        <x:v>MED006</x:v>
      </x:c>
      <x:c r="I152" s="32" t="str">
        <x:v>Vitamina C 1 g</x:v>
      </x:c>
      <x:c r="J152" s="32" t="str">
        <x:v>Vitaminas</x:v>
      </x:c>
      <x:c r="K152" s="32" t="str">
        <x:v>Novartis</x:v>
      </x:c>
      <x:c r="L152" s="32" t="str">
        <x:v>Tubo x 10 efervescentes</x:v>
      </x:c>
      <x:c r="M152" s="28" t="n">
        <x:v>6</x:v>
      </x:c>
      <x:c r="N152" s="28" t="n">
        <x:v>60</x:v>
      </x:c>
      <x:c r="O152" s="28" t="n">
        <x:f>M152*N152</x:f>
        <x:v>360</x:v>
      </x:c>
      <x:c r="P152" s="24" t="n">
        <x:v>2.06</x:v>
      </x:c>
      <x:c r="Q152" s="26" t="n">
        <x:v>0.07788625563305475</x:v>
      </x:c>
      <x:c r="R152" s="24" t="n">
        <x:f>O152*P152*Q152</x:f>
        <x:v>57.7604471774734</x:v>
      </x:c>
      <x:c r="S152" s="24" t="n">
        <x:f>P152*(1-Q152)</x:f>
        <x:v>1.8995543133959072</x:v>
      </x:c>
      <x:c r="T152" s="24" t="n">
        <x:f>O152*S152</x:f>
        <x:v>683.8395528225266</x:v>
      </x:c>
      <x:c r="U152" t="str">
        <x:v>VALLE</x:v>
      </x:c>
      <x:c r="V152" t="str">
        <x:v>Farmacia Valle de los Chillos</x:v>
      </x:c>
      <x:c r="W152" t="str">
        <x:v>Zona Valle</x:v>
      </x:c>
      <x:c r="X152" t="str">
        <x:v>Sangolquí</x:v>
      </x:c>
      <x:c r="Y152" s="32" t="str">
        <x:v>Av. Calderón 101</x:v>
      </x:c>
      <x:c r="Z152" s="22" t="n">
        <x:v>45842</x:v>
      </x:c>
      <x:c r="AA152" t="str">
        <x:v>Recibido</x:v>
      </x:c>
      <x:c r="AB152" t="str">
        <x:v>15 días crédito</x:v>
      </x:c>
      <x:c r="AC152" s="32" t="str"/>
    </x:row>
    <x:row r="153">
      <x:c r="A153" t="n">
        <x:v>152</x:v>
      </x:c>
      <x:c r="B153" s="22" t="n">
        <x:v>45719</x:v>
      </x:c>
      <x:c r="C153" t="str">
        <x:v>OC-2025-0152</x:v>
      </x:c>
      <x:c r="D153" t="str">
        <x:v>F-D007-202503-2631</x:v>
      </x:c>
      <x:c r="E153" t="str">
        <x:v>L2503-015-0152</x:v>
      </x:c>
      <x:c r="F153" t="str">
        <x:v>D007</x:v>
      </x:c>
      <x:c r="G153" s="32" t="str">
        <x:v>Comercializadora BioFarma</x:v>
      </x:c>
      <x:c r="H153" t="str">
        <x:v>MED015</x:v>
      </x:c>
      <x:c r="I153" s="32" t="str">
        <x:v>Producto descontinuado</x:v>
      </x:c>
      <x:c r="J153" s="32" t="str">
        <x:v>Vitaminas</x:v>
      </x:c>
      <x:c r="K153" s="32" t="str">
        <x:v>MEDICAMENTA</x:v>
      </x:c>
      <x:c r="L153" s="32" t="str">
        <x:v>Caja x 20</x:v>
      </x:c>
      <x:c r="M153" s="28" t="n">
        <x:v>1</x:v>
      </x:c>
      <x:c r="N153" s="28" t="n">
        <x:v>60</x:v>
      </x:c>
      <x:c r="O153" s="28" t="n">
        <x:f>M153*N153</x:f>
        <x:v>60</x:v>
      </x:c>
      <x:c r="P153" s="24" t="n">
        <x:v>6.74</x:v>
      </x:c>
      <x:c r="Q153" s="26" t="n">
        <x:v>0.0698400411690348</x:v>
      </x:c>
      <x:c r="R153" s="24" t="n">
        <x:f>O153*P153*Q153</x:f>
        <x:v>28.243312648757676</x:v>
      </x:c>
      <x:c r="S153" s="24" t="n">
        <x:f>P153*(1-Q153)</x:f>
        <x:v>6.269278122520706</x:v>
      </x:c>
      <x:c r="T153" s="24" t="n">
        <x:f>O153*S153</x:f>
        <x:v>376.1566873512424</x:v>
      </x:c>
      <x:c r="U153" t="str">
        <x:v>SUR</x:v>
      </x:c>
      <x:c r="V153" t="str">
        <x:v>Farmacia del Sur</x:v>
      </x:c>
      <x:c r="W153" t="str">
        <x:v>Zona Sur</x:v>
      </x:c>
      <x:c r="X153" t="str">
        <x:v>Quito</x:v>
      </x:c>
      <x:c r="Y153" s="32" t="str">
        <x:v>Av. Maldonado S25-10</x:v>
      </x:c>
      <x:c r="Z153" s="22" t="n">
        <x:v>45720</x:v>
      </x:c>
      <x:c r="AA153" t="str">
        <x:v>Recibido</x:v>
      </x:c>
      <x:c r="AB153" t="str">
        <x:v>15 días crédito</x:v>
      </x:c>
      <x:c r="AC153" s="32" t="str">
        <x:v>Compra controlada: producto descontinuado</x:v>
      </x:c>
    </x:row>
    <x:row r="154">
      <x:c r="A154" t="n">
        <x:v>153</x:v>
      </x:c>
      <x:c r="B154" s="22" t="n">
        <x:v>45984</x:v>
      </x:c>
      <x:c r="C154" t="str">
        <x:v>OC-2025-0153</x:v>
      </x:c>
      <x:c r="D154" t="str">
        <x:v>F-D003-202511-9308</x:v>
      </x:c>
      <x:c r="E154" t="str">
        <x:v>L2511-007-0153</x:v>
      </x:c>
      <x:c r="F154" t="str">
        <x:v>D003</x:v>
      </x:c>
      <x:c r="G154" s="32" t="str">
        <x:v>FarmaLogística Sierra</x:v>
      </x:c>
      <x:c r="H154" t="str">
        <x:v>MED007</x:v>
      </x:c>
      <x:c r="I154" s="32" t="str">
        <x:v>Omeprazol 20 mg</x:v>
      </x:c>
      <x:c r="J154" s="32" t="str">
        <x:v>Gastrointestinales</x:v>
      </x:c>
      <x:c r="K154" s="32" t="str">
        <x:v>La Santé</x:v>
      </x:c>
      <x:c r="L154" s="32" t="str">
        <x:v>Caja x 30 cápsulas</x:v>
      </x:c>
      <x:c r="M154" s="28" t="n">
        <x:v>5</x:v>
      </x:c>
      <x:c r="N154" s="28" t="n">
        <x:v>24</x:v>
      </x:c>
      <x:c r="O154" s="28" t="n">
        <x:f>M154*N154</x:f>
        <x:v>120</x:v>
      </x:c>
      <x:c r="P154" s="24" t="n">
        <x:v>2.86</x:v>
      </x:c>
      <x:c r="Q154" s="26" t="n">
        <x:v>0.027609198790420043</x:v>
      </x:c>
      <x:c r="R154" s="24" t="n">
        <x:f>O154*P154*Q154</x:f>
        <x:v>9.47547702487216</x:v>
      </x:c>
      <x:c r="S154" s="24" t="n">
        <x:f>P154*(1-Q154)</x:f>
        <x:v>2.7810376914593986</x:v>
      </x:c>
      <x:c r="T154" s="24" t="n">
        <x:f>O154*S154</x:f>
        <x:v>333.72452297512785</x:v>
      </x:c>
      <x:c r="U154" t="str">
        <x:v>SUR</x:v>
      </x:c>
      <x:c r="V154" t="str">
        <x:v>Farmacia del Sur</x:v>
      </x:c>
      <x:c r="W154" t="str">
        <x:v>Zona Sur</x:v>
      </x:c>
      <x:c r="X154" t="str">
        <x:v>Quito</x:v>
      </x:c>
      <x:c r="Y154" s="32" t="str">
        <x:v>Av. Maldonado S25-10</x:v>
      </x:c>
      <x:c r="Z154" s="22" t="n">
        <x:v>45985</x:v>
      </x:c>
      <x:c r="AA154" t="str">
        <x:v>Recibido</x:v>
      </x:c>
      <x:c r="AB154" t="str">
        <x:v>Contado contra entrega</x:v>
      </x:c>
      <x:c r="AC154" s="32" t="str"/>
    </x:row>
    <x:row r="155">
      <x:c r="A155" t="n">
        <x:v>154</x:v>
      </x:c>
      <x:c r="B155" s="22" t="n">
        <x:v>45874</x:v>
      </x:c>
      <x:c r="C155" t="str">
        <x:v>OC-2025-0154</x:v>
      </x:c>
      <x:c r="D155" t="str">
        <x:v>F-D006-202508-8202</x:v>
      </x:c>
      <x:c r="E155" t="str">
        <x:v>L2508-007-0154</x:v>
      </x:c>
      <x:c r="F155" t="str">
        <x:v>D006</x:v>
      </x:c>
      <x:c r="G155" s="32" t="str">
        <x:v>Insumos Médicos del Pacífico</x:v>
      </x:c>
      <x:c r="H155" t="str">
        <x:v>MED007</x:v>
      </x:c>
      <x:c r="I155" s="32" t="str">
        <x:v>Omeprazol 20 mg</x:v>
      </x:c>
      <x:c r="J155" s="32" t="str">
        <x:v>Gastrointestinales</x:v>
      </x:c>
      <x:c r="K155" s="32" t="str">
        <x:v>La Santé</x:v>
      </x:c>
      <x:c r="L155" s="32" t="str">
        <x:v>Caja x 30 cápsulas</x:v>
      </x:c>
      <x:c r="M155" s="28" t="n">
        <x:v>30</x:v>
      </x:c>
      <x:c r="N155" s="28" t="n">
        <x:v>24</x:v>
      </x:c>
      <x:c r="O155" s="28" t="n">
        <x:f>M155*N155</x:f>
        <x:v>720</x:v>
      </x:c>
      <x:c r="P155" s="24" t="n">
        <x:v>2.79</x:v>
      </x:c>
      <x:c r="Q155" s="26" t="n">
        <x:v>0.14379832491665712</x:v>
      </x:c>
      <x:c r="R155" s="24" t="n">
        <x:f>O155*P155*Q155</x:f>
        <x:v>288.8620750925808</x:v>
      </x:c>
      <x:c r="S155" s="24" t="n">
        <x:f>P155*(1-Q155)</x:f>
        <x:v>2.3888026734825267</x:v>
      </x:c>
      <x:c r="T155" s="24" t="n">
        <x:f>O155*S155</x:f>
        <x:v>1719.9379249074193</x:v>
      </x:c>
      <x:c r="U155" t="str">
        <x:v>NORTE</x:v>
      </x:c>
      <x:c r="V155" t="str">
        <x:v>Farmacia Norte</x:v>
      </x:c>
      <x:c r="W155" t="str">
        <x:v>Zona Norte</x:v>
      </x:c>
      <x:c r="X155" t="str">
        <x:v>Quito</x:v>
      </x:c>
      <x:c r="Y155" s="32" t="str">
        <x:v>Av. 10 de Agosto N45-20</x:v>
      </x:c>
      <x:c r="Z155" s="22" t="n">
        <x:v>45879</x:v>
      </x:c>
      <x:c r="AA155" t="str">
        <x:v>Recibido</x:v>
      </x:c>
      <x:c r="AB155" t="str">
        <x:v>60 días crédito</x:v>
      </x:c>
      <x:c r="AC155" s="32" t="str">
        <x:v>Descuento por volumen</x:v>
      </x:c>
    </x:row>
    <x:row r="156">
      <x:c r="A156" t="n">
        <x:v>155</x:v>
      </x:c>
      <x:c r="B156" s="22" t="n">
        <x:v>46177</x:v>
      </x:c>
      <x:c r="C156" t="str">
        <x:v>OC-2026-0155</x:v>
      </x:c>
      <x:c r="D156" t="str">
        <x:v>F-D005-202606-1914</x:v>
      </x:c>
      <x:c r="E156" t="str">
        <x:v>L2606-004-0155</x:v>
      </x:c>
      <x:c r="F156" t="str">
        <x:v>D005</x:v>
      </x:c>
      <x:c r="G156" s="32" t="str">
        <x:v>PharmaExpress Quito</x:v>
      </x:c>
      <x:c r="H156" t="str">
        <x:v>MED004</x:v>
      </x:c>
      <x:c r="I156" s="32" t="str">
        <x:v>Azitromicina 500 mg</x:v>
      </x:c>
      <x:c r="J156" s="32" t="str">
        <x:v>Antibióticos</x:v>
      </x:c>
      <x:c r="K156" s="32" t="str">
        <x:v>Pfizer</x:v>
      </x:c>
      <x:c r="L156" s="32" t="str">
        <x:v>Caja x 3 tabletas</x:v>
      </x:c>
      <x:c r="M156" s="28" t="n">
        <x:v>2</x:v>
      </x:c>
      <x:c r="N156" s="28" t="n">
        <x:v>50</x:v>
      </x:c>
      <x:c r="O156" s="28" t="n">
        <x:f>M156*N156</x:f>
        <x:v>100</x:v>
      </x:c>
      <x:c r="P156" s="24" t="n">
        <x:v>5</x:v>
      </x:c>
      <x:c r="Q156" s="26" t="n">
        <x:v>0.056049327178447676</x:v>
      </x:c>
      <x:c r="R156" s="24" t="n">
        <x:f>O156*P156*Q156</x:f>
        <x:v>28.024663589223838</x:v>
      </x:c>
      <x:c r="S156" s="24" t="n">
        <x:f>P156*(1-Q156)</x:f>
        <x:v>4.719753364107762</x:v>
      </x:c>
      <x:c r="T156" s="24" t="n">
        <x:f>O156*S156</x:f>
        <x:v>471.97533641077615</x:v>
      </x:c>
      <x:c r="U156" t="str">
        <x:v>NORTE</x:v>
      </x:c>
      <x:c r="V156" t="str">
        <x:v>Farmacia Norte</x:v>
      </x:c>
      <x:c r="W156" t="str">
        <x:v>Zona Norte</x:v>
      </x:c>
      <x:c r="X156" t="str">
        <x:v>Quito</x:v>
      </x:c>
      <x:c r="Y156" s="32" t="str">
        <x:v>Av. 10 de Agosto N45-20</x:v>
      </x:c>
      <x:c r="Z156" s="22" t="n">
        <x:v>46179</x:v>
      </x:c>
      <x:c r="AA156" t="str">
        <x:v>Recibido</x:v>
      </x:c>
      <x:c r="AB156" t="str">
        <x:v>30 días crédito</x:v>
      </x:c>
      <x:c r="AC156" s="32" t="str">
        <x:v>Entrega coordinada fuera de horario regular</x:v>
      </x:c>
    </x:row>
    <x:row r="157">
      <x:c r="A157" t="n">
        <x:v>156</x:v>
      </x:c>
      <x:c r="B157" s="22" t="n">
        <x:v>46287</x:v>
      </x:c>
      <x:c r="C157" t="str">
        <x:v>OC-2026-0156</x:v>
      </x:c>
      <x:c r="D157" t="str">
        <x:v>F-D003-202609-3381</x:v>
      </x:c>
      <x:c r="E157" t="str">
        <x:v>L2609-014-0156</x:v>
      </x:c>
      <x:c r="F157" t="str">
        <x:v>D003</x:v>
      </x:c>
      <x:c r="G157" s="32" t="str">
        <x:v>FarmaLogística Sierra</x:v>
      </x:c>
      <x:c r="H157" t="str">
        <x:v>MED014</x:v>
      </x:c>
      <x:c r="I157" s="32" t="str">
        <x:v>Crema antimicótica</x:v>
      </x:c>
      <x:c r="J157" s="32" t="str">
        <x:v>Dermatológicos</x:v>
      </x:c>
      <x:c r="K157" s="32" t="str">
        <x:v>Acromax</x:v>
      </x:c>
      <x:c r="L157" s="32" t="str">
        <x:v>Tubo 30 g</x:v>
      </x:c>
      <x:c r="M157" s="28" t="n">
        <x:v>4</x:v>
      </x:c>
      <x:c r="N157" s="28" t="n">
        <x:v>50</x:v>
      </x:c>
      <x:c r="O157" s="28" t="n">
        <x:f>M157*N157</x:f>
        <x:v>200</x:v>
      </x:c>
      <x:c r="P157" s="24" t="n">
        <x:v>2.45</x:v>
      </x:c>
      <x:c r="Q157" s="26" t="n">
        <x:v>0.029608868189226898</x:v>
      </x:c>
      <x:c r="R157" s="24" t="n">
        <x:f>O157*P157*Q157</x:f>
        <x:v>14.508345412721182</x:v>
      </x:c>
      <x:c r="S157" s="24" t="n">
        <x:f>P157*(1-Q157)</x:f>
        <x:v>2.3774582729363942</x:v>
      </x:c>
      <x:c r="T157" s="24" t="n">
        <x:f>O157*S157</x:f>
        <x:v>475.49165458727884</x:v>
      </x:c>
      <x:c r="U157" t="str">
        <x:v>NORTE</x:v>
      </x:c>
      <x:c r="V157" t="str">
        <x:v>Farmacia Norte</x:v>
      </x:c>
      <x:c r="W157" t="str">
        <x:v>Zona Norte</x:v>
      </x:c>
      <x:c r="X157" t="str">
        <x:v>Quito</x:v>
      </x:c>
      <x:c r="Y157" s="32" t="str">
        <x:v>Av. 10 de Agosto N45-20</x:v>
      </x:c>
      <x:c r="Z157" s="22" t="n">
        <x:v>46288</x:v>
      </x:c>
      <x:c r="AA157" t="str">
        <x:v>Recibido</x:v>
      </x:c>
      <x:c r="AB157" t="str">
        <x:v>Contado contra entrega</x:v>
      </x:c>
      <x:c r="AC157" s="32" t="str"/>
    </x:row>
    <x:row r="158">
      <x:c r="A158" t="n">
        <x:v>157</x:v>
      </x:c>
      <x:c r="B158" s="22" t="n">
        <x:v>45664</x:v>
      </x:c>
      <x:c r="C158" t="str">
        <x:v>OC-2025-0157</x:v>
      </x:c>
      <x:c r="D158" t="str">
        <x:v>F-D006-202501-8316</x:v>
      </x:c>
      <x:c r="E158" t="str">
        <x:v>L2501-009-0157</x:v>
      </x:c>
      <x:c r="F158" t="str">
        <x:v>D006</x:v>
      </x:c>
      <x:c r="G158" s="32" t="str">
        <x:v>Insumos Médicos del Pacífico</x:v>
      </x:c>
      <x:c r="H158" t="str">
        <x:v>MED009</x:v>
      </x:c>
      <x:c r="I158" s="32" t="str">
        <x:v>Losartán 50 mg</x:v>
      </x:c>
      <x:c r="J158" s="32" t="str">
        <x:v>Cardiovasculares</x:v>
      </x:c>
      <x:c r="K158" s="32" t="str">
        <x:v>Laboratorios Bagó</x:v>
      </x:c>
      <x:c r="L158" s="32" t="str">
        <x:v>Caja x 30 tabletas</x:v>
      </x:c>
      <x:c r="M158" s="28" t="n">
        <x:v>12</x:v>
      </x:c>
      <x:c r="N158" s="28" t="n">
        <x:v>50</x:v>
      </x:c>
      <x:c r="O158" s="28" t="n">
        <x:f>M158*N158</x:f>
        <x:v>600</x:v>
      </x:c>
      <x:c r="P158" s="24" t="n">
        <x:v>3.03</x:v>
      </x:c>
      <x:c r="Q158" s="26" t="n">
        <x:v>0.1533206735126983</x:v>
      </x:c>
      <x:c r="R158" s="24" t="n">
        <x:f>O158*P158*Q158</x:f>
        <x:v>278.73698444608544</x:v>
      </x:c>
      <x:c r="S158" s="24" t="n">
        <x:f>P158*(1-Q158)</x:f>
        <x:v>2.565438359256524</x:v>
      </x:c>
      <x:c r="T158" s="24" t="n">
        <x:f>O158*S158</x:f>
        <x:v>1539.2630155539143</x:v>
      </x:c>
      <x:c r="U158" t="str">
        <x:v>SUR</x:v>
      </x:c>
      <x:c r="V158" t="str">
        <x:v>Farmacia del Sur</x:v>
      </x:c>
      <x:c r="W158" t="str">
        <x:v>Zona Sur</x:v>
      </x:c>
      <x:c r="X158" t="str">
        <x:v>Quito</x:v>
      </x:c>
      <x:c r="Y158" s="32" t="str">
        <x:v>Av. Maldonado S25-10</x:v>
      </x:c>
      <x:c r="Z158" s="22" t="n">
        <x:v>45668</x:v>
      </x:c>
      <x:c r="AA158" t="str">
        <x:v>Recibido</x:v>
      </x:c>
      <x:c r="AB158" t="str">
        <x:v>60 días crédito</x:v>
      </x:c>
      <x:c r="AC158" s="32" t="str">
        <x:v>Descuento por volumen</x:v>
      </x:c>
    </x:row>
    <x:row r="159">
      <x:c r="A159" t="n">
        <x:v>158</x:v>
      </x:c>
      <x:c r="B159" s="22" t="n">
        <x:v>46180</x:v>
      </x:c>
      <x:c r="C159" t="str">
        <x:v>OC-2026-0158</x:v>
      </x:c>
      <x:c r="D159" t="str">
        <x:v>F-D002-202606-5723</x:v>
      </x:c>
      <x:c r="E159" t="str">
        <x:v>L2606-010-0158</x:v>
      </x:c>
      <x:c r="F159" t="str">
        <x:v>D002</x:v>
      </x:c>
      <x:c r="G159" s="32" t="str">
        <x:v>MedSupply Ecuador Cía. Ltda.</x:v>
      </x:c>
      <x:c r="H159" t="str">
        <x:v>MED010</x:v>
      </x:c>
      <x:c r="I159" s="32" t="str">
        <x:v>Aspirina 100 mg</x:v>
      </x:c>
      <x:c r="J159" s="32" t="str">
        <x:v>Cardiovasculares</x:v>
      </x:c>
      <x:c r="K159" s="32" t="str">
        <x:v>Bayer</x:v>
      </x:c>
      <x:c r="L159" s="32" t="str">
        <x:v>Caja x 30 tabletas</x:v>
      </x:c>
      <x:c r="M159" s="28" t="n">
        <x:v>18</x:v>
      </x:c>
      <x:c r="N159" s="28" t="n">
        <x:v>20</x:v>
      </x:c>
      <x:c r="O159" s="28" t="n">
        <x:f>M159*N159</x:f>
        <x:v>360</x:v>
      </x:c>
      <x:c r="P159" s="24" t="n">
        <x:v>1.74</x:v>
      </x:c>
      <x:c r="Q159" s="26" t="n">
        <x:v>0.056452489933320915</x:v>
      </x:c>
      <x:c r="R159" s="24" t="n">
        <x:f>O159*P159*Q159</x:f>
        <x:v>35.36183969423222</x:v>
      </x:c>
      <x:c r="S159" s="24" t="n">
        <x:f>P159*(1-Q159)</x:f>
        <x:v>1.6417726675160216</x:v>
      </x:c>
      <x:c r="T159" s="24" t="n">
        <x:f>O159*S159</x:f>
        <x:v>591.0381603057677</x:v>
      </x:c>
      <x:c r="U159" t="str">
        <x:v>SUR</x:v>
      </x:c>
      <x:c r="V159" t="str">
        <x:v>Farmacia del Sur</x:v>
      </x:c>
      <x:c r="W159" t="str">
        <x:v>Zona Sur</x:v>
      </x:c>
      <x:c r="X159" t="str">
        <x:v>Quito</x:v>
      </x:c>
      <x:c r="Y159" s="32" t="str">
        <x:v>Av. Maldonado S25-10</x:v>
      </x:c>
      <x:c r="Z159" s="22" t="n">
        <x:v>46184</x:v>
      </x:c>
      <x:c r="AA159" t="str">
        <x:v>Recibido</x:v>
      </x:c>
      <x:c r="AB159" t="str">
        <x:v>15 días crédito</x:v>
      </x:c>
      <x:c r="AC159" s="32" t="str"/>
    </x:row>
    <x:row r="160">
      <x:c r="A160" t="n">
        <x:v>159</x:v>
      </x:c>
      <x:c r="B160" s="22" t="n">
        <x:v>45754</x:v>
      </x:c>
      <x:c r="C160" t="str">
        <x:v>OC-2025-0159</x:v>
      </x:c>
      <x:c r="D160" t="str">
        <x:v>F-D007-202504-3676</x:v>
      </x:c>
      <x:c r="E160" t="str">
        <x:v>L2504-006-0159</x:v>
      </x:c>
      <x:c r="F160" t="str">
        <x:v>D007</x:v>
      </x:c>
      <x:c r="G160" s="32" t="str">
        <x:v>Comercializadora BioFarma</x:v>
      </x:c>
      <x:c r="H160" t="str">
        <x:v>MED006</x:v>
      </x:c>
      <x:c r="I160" s="32" t="str">
        <x:v>Vitamina C 1 g</x:v>
      </x:c>
      <x:c r="J160" s="32" t="str">
        <x:v>Vitaminas</x:v>
      </x:c>
      <x:c r="K160" s="32" t="str">
        <x:v>Novartis</x:v>
      </x:c>
      <x:c r="L160" s="32" t="str">
        <x:v>Tubo x 10 efervescentes</x:v>
      </x:c>
      <x:c r="M160" s="28" t="n">
        <x:v>4</x:v>
      </x:c>
      <x:c r="N160" s="28" t="n">
        <x:v>60</x:v>
      </x:c>
      <x:c r="O160" s="28" t="n">
        <x:f>M160*N160</x:f>
        <x:v>240</x:v>
      </x:c>
      <x:c r="P160" s="24" t="n">
        <x:v>2.18</x:v>
      </x:c>
      <x:c r="Q160" s="26" t="n">
        <x:v>0.06284600204183206</x:v>
      </x:c>
      <x:c r="R160" s="24" t="n">
        <x:f>O160*P160*Q160</x:f>
        <x:v>32.88102826828654</x:v>
      </x:c>
      <x:c r="S160" s="24" t="n">
        <x:f>P160*(1-Q160)</x:f>
        <x:v>2.0429957155488063</x:v>
      </x:c>
      <x:c r="T160" s="24" t="n">
        <x:f>O160*S160</x:f>
        <x:v>490.31897173171353</x:v>
      </x:c>
      <x:c r="U160" t="str">
        <x:v>NORTE</x:v>
      </x:c>
      <x:c r="V160" t="str">
        <x:v>Farmacia Norte</x:v>
      </x:c>
      <x:c r="W160" t="str">
        <x:v>Zona Norte</x:v>
      </x:c>
      <x:c r="X160" t="str">
        <x:v>Quito</x:v>
      </x:c>
      <x:c r="Y160" s="32" t="str">
        <x:v>Av. 10 de Agosto N45-20</x:v>
      </x:c>
      <x:c r="Z160" s="22" t="n">
        <x:v>45758</x:v>
      </x:c>
      <x:c r="AA160" t="str">
        <x:v>Recibido</x:v>
      </x:c>
      <x:c r="AB160" t="str">
        <x:v>15 días crédito</x:v>
      </x:c>
      <x:c r="AC160" s="32" t="str"/>
    </x:row>
    <x:row r="161">
      <x:c r="A161" t="n">
        <x:v>160</x:v>
      </x:c>
      <x:c r="B161" s="22" t="n">
        <x:v>45819</x:v>
      </x:c>
      <x:c r="C161" t="str">
        <x:v>OC-2025-0160</x:v>
      </x:c>
      <x:c r="D161" t="str">
        <x:v>F-D001-202506-6013</x:v>
      </x:c>
      <x:c r="E161" t="str">
        <x:v>L2506-001-0160</x:v>
      </x:c>
      <x:c r="F161" t="str">
        <x:v>D001</x:v>
      </x:c>
      <x:c r="G161" s="32" t="str">
        <x:v>DistriFarma Andina S.A.</x:v>
      </x:c>
      <x:c r="H161" t="str">
        <x:v>MED001</x:v>
      </x:c>
      <x:c r="I161" s="32" t="str">
        <x:v>Paracetamol 500 mg</x:v>
      </x:c>
      <x:c r="J161" s="32" t="str">
        <x:v>Analgésicos</x:v>
      </x:c>
      <x:c r="K161" s="32" t="str">
        <x:v>Genfar</x:v>
      </x:c>
      <x:c r="L161" s="32" t="str">
        <x:v>Caja x 20 tabletas</x:v>
      </x:c>
      <x:c r="M161" s="28" t="n">
        <x:v>20</x:v>
      </x:c>
      <x:c r="N161" s="28" t="n">
        <x:v>30</x:v>
      </x:c>
      <x:c r="O161" s="28" t="n">
        <x:f>M161*N161</x:f>
        <x:v>600</x:v>
      </x:c>
      <x:c r="P161" s="24" t="n">
        <x:v>0.78</x:v>
      </x:c>
      <x:c r="Q161" s="26" t="n">
        <x:v>0.07409593141155574</x:v>
      </x:c>
      <x:c r="R161" s="24" t="n">
        <x:f>O161*P161*Q161</x:f>
        <x:v>34.67689590060809</x:v>
      </x:c>
      <x:c r="S161" s="24" t="n">
        <x:f>P161*(1-Q161)</x:f>
        <x:v>0.7222051734989866</x:v>
      </x:c>
      <x:c r="T161" s="24" t="n">
        <x:f>O161*S161</x:f>
        <x:v>433.32310409939197</x:v>
      </x:c>
      <x:c r="U161" t="str">
        <x:v>NORTE</x:v>
      </x:c>
      <x:c r="V161" t="str">
        <x:v>Farmacia Norte</x:v>
      </x:c>
      <x:c r="W161" t="str">
        <x:v>Zona Norte</x:v>
      </x:c>
      <x:c r="X161" t="str">
        <x:v>Quito</x:v>
      </x:c>
      <x:c r="Y161" s="32" t="str">
        <x:v>Av. 10 de Agosto N45-20</x:v>
      </x:c>
      <x:c r="Z161" s="22" t="n">
        <x:v>45822</x:v>
      </x:c>
      <x:c r="AA161" t="str">
        <x:v>Recibido</x:v>
      </x:c>
      <x:c r="AB161" t="str">
        <x:v>30 días crédito</x:v>
      </x:c>
      <x:c r="AC161" s="32" t="str">
        <x:v>Entrega coordinada fuera de horario regular</x:v>
      </x:c>
    </x:row>
    <x:row r="162">
      <x:c r="A162" t="n">
        <x:v>161</x:v>
      </x:c>
      <x:c r="B162" s="22" t="n">
        <x:v>45897</x:v>
      </x:c>
      <x:c r="C162" t="str">
        <x:v>OC-2025-0161</x:v>
      </x:c>
      <x:c r="D162" t="str">
        <x:v>F-D001-202508-7595</x:v>
      </x:c>
      <x:c r="E162" t="str">
        <x:v>L2508-011-0161</x:v>
      </x:c>
      <x:c r="F162" t="str">
        <x:v>D001</x:v>
      </x:c>
      <x:c r="G162" s="32" t="str">
        <x:v>DistriFarma Andina S.A.</x:v>
      </x:c>
      <x:c r="H162" t="str">
        <x:v>MED011</x:v>
      </x:c>
      <x:c r="I162" s="32" t="str">
        <x:v>Jarabe antigripal</x:v>
      </x:c>
      <x:c r="J162" s="32" t="str">
        <x:v>Antigripales</x:v>
      </x:c>
      <x:c r="K162" s="32" t="str">
        <x:v>MEDICAMENTA</x:v>
      </x:c>
      <x:c r="L162" s="32" t="str">
        <x:v>Frasco 120 ml</x:v>
      </x:c>
      <x:c r="M162" s="28" t="n">
        <x:v>3</x:v>
      </x:c>
      <x:c r="N162" s="28" t="n">
        <x:v>60</x:v>
      </x:c>
      <x:c r="O162" s="28" t="n">
        <x:f>M162*N162</x:f>
        <x:v>180</x:v>
      </x:c>
      <x:c r="P162" s="24" t="n">
        <x:v>2.79</x:v>
      </x:c>
      <x:c r="Q162" s="26" t="n">
        <x:v>0.10027510523513214</x:v>
      </x:c>
      <x:c r="R162" s="24" t="n">
        <x:f>O162*P162*Q162</x:f>
        <x:v>50.35815784908336</x:v>
      </x:c>
      <x:c r="S162" s="24" t="n">
        <x:f>P162*(1-Q162)</x:f>
        <x:v>2.510232456393981</x:v>
      </x:c>
      <x:c r="T162" s="24" t="n">
        <x:f>O162*S162</x:f>
        <x:v>451.8418421509166</x:v>
      </x:c>
      <x:c r="U162" t="str">
        <x:v>NORTE</x:v>
      </x:c>
      <x:c r="V162" t="str">
        <x:v>Farmacia Norte</x:v>
      </x:c>
      <x:c r="W162" t="str">
        <x:v>Zona Norte</x:v>
      </x:c>
      <x:c r="X162" t="str">
        <x:v>Quito</x:v>
      </x:c>
      <x:c r="Y162" s="32" t="str">
        <x:v>Av. 10 de Agosto N45-20</x:v>
      </x:c>
      <x:c r="Z162" s="22" t="n">
        <x:v>45902</x:v>
      </x:c>
      <x:c r="AA162" t="str">
        <x:v>Recibido</x:v>
      </x:c>
      <x:c r="AB162" t="str">
        <x:v>30 días crédito</x:v>
      </x:c>
      <x:c r="AC162" s="32" t="str"/>
    </x:row>
    <x:row r="163">
      <x:c r="A163" t="n">
        <x:v>162</x:v>
      </x:c>
      <x:c r="B163" s="22" t="n">
        <x:v>45761</x:v>
      </x:c>
      <x:c r="C163" t="str">
        <x:v>OC-2025-0162</x:v>
      </x:c>
      <x:c r="D163" t="str">
        <x:v>F-D004-202504-4009</x:v>
      </x:c>
      <x:c r="E163" t="str">
        <x:v>L2504-015-0162</x:v>
      </x:c>
      <x:c r="F163" t="str">
        <x:v>D004</x:v>
      </x:c>
      <x:c r="G163" s="32" t="str">
        <x:v>Distribuidora Salud Total</x:v>
      </x:c>
      <x:c r="H163" t="str">
        <x:v>MED015</x:v>
      </x:c>
      <x:c r="I163" s="32" t="str">
        <x:v>Producto descontinuado</x:v>
      </x:c>
      <x:c r="J163" s="32" t="str">
        <x:v>Vitaminas</x:v>
      </x:c>
      <x:c r="K163" s="32" t="str">
        <x:v>MEDICAMENTA</x:v>
      </x:c>
      <x:c r="L163" s="32" t="str">
        <x:v>Caja x 20</x:v>
      </x:c>
      <x:c r="M163" s="28" t="n">
        <x:v>4</x:v>
      </x:c>
      <x:c r="N163" s="28" t="n">
        <x:v>10</x:v>
      </x:c>
      <x:c r="O163" s="28" t="n">
        <x:f>M163*N163</x:f>
        <x:v>40</x:v>
      </x:c>
      <x:c r="P163" s="24" t="n">
        <x:v>6.63</x:v>
      </x:c>
      <x:c r="Q163" s="26" t="n">
        <x:v>0.14614874478813558</x:v>
      </x:c>
      <x:c r="R163" s="24" t="n">
        <x:f>O163*P163*Q163</x:f>
        <x:v>38.75864711781355</x:v>
      </x:c>
      <x:c r="S163" s="24" t="n">
        <x:f>P163*(1-Q163)</x:f>
        <x:v>5.661033822054661</x:v>
      </x:c>
      <x:c r="T163" s="24" t="n">
        <x:f>O163*S163</x:f>
        <x:v>226.44135288218646</x:v>
      </x:c>
      <x:c r="U163" t="str">
        <x:v>VALLE</x:v>
      </x:c>
      <x:c r="V163" t="str">
        <x:v>Farmacia Valle de los Chillos</x:v>
      </x:c>
      <x:c r="W163" t="str">
        <x:v>Zona Valle</x:v>
      </x:c>
      <x:c r="X163" t="str">
        <x:v>Sangolquí</x:v>
      </x:c>
      <x:c r="Y163" s="32" t="str">
        <x:v>Av. Calderón 101</x:v>
      </x:c>
      <x:c r="Z163" s="22" t="n">
        <x:v>45762</x:v>
      </x:c>
      <x:c r="AA163" t="str">
        <x:v>Recibido</x:v>
      </x:c>
      <x:c r="AB163" t="str">
        <x:v>45 días crédito</x:v>
      </x:c>
      <x:c r="AC163" s="32" t="str">
        <x:v>Compra controlada: producto descontinuado</x:v>
      </x:c>
    </x:row>
    <x:row r="164">
      <x:c r="A164" t="n">
        <x:v>163</x:v>
      </x:c>
      <x:c r="B164" s="22" t="n">
        <x:v>46256</x:v>
      </x:c>
      <x:c r="C164" t="str">
        <x:v>OC-2026-0163</x:v>
      </x:c>
      <x:c r="D164" t="str">
        <x:v>F-D002-202608-8456</x:v>
      </x:c>
      <x:c r="E164" t="str">
        <x:v>L2608-006-0163</x:v>
      </x:c>
      <x:c r="F164" t="str">
        <x:v>D002</x:v>
      </x:c>
      <x:c r="G164" s="32" t="str">
        <x:v>MedSupply Ecuador Cía. Ltda.</x:v>
      </x:c>
      <x:c r="H164" t="str">
        <x:v>MED006</x:v>
      </x:c>
      <x:c r="I164" s="32" t="str">
        <x:v>Vitamina C 1 g</x:v>
      </x:c>
      <x:c r="J164" s="32" t="str">
        <x:v>Vitaminas</x:v>
      </x:c>
      <x:c r="K164" s="32" t="str">
        <x:v>Novartis</x:v>
      </x:c>
      <x:c r="L164" s="32" t="str">
        <x:v>Tubo x 10 efervescentes</x:v>
      </x:c>
      <x:c r="M164" s="28" t="n">
        <x:v>16</x:v>
      </x:c>
      <x:c r="N164" s="28" t="n">
        <x:v>30</x:v>
      </x:c>
      <x:c r="O164" s="28" t="n">
        <x:f>M164*N164</x:f>
        <x:v>480</x:v>
      </x:c>
      <x:c r="P164" s="24" t="n">
        <x:v>2.44</x:v>
      </x:c>
      <x:c r="Q164" s="26" t="n">
        <x:v>0.07459664416016663</x:v>
      </x:c>
      <x:c r="R164" s="24" t="n">
        <x:f>O164*P164*Q164</x:f>
        <x:v>87.36758964038717</x:v>
      </x:c>
      <x:c r="S164" s="24" t="n">
        <x:f>P164*(1-Q164)</x:f>
        <x:v>2.257984188249193</x:v>
      </x:c>
      <x:c r="T164" s="24" t="n">
        <x:f>O164*S164</x:f>
        <x:v>1083.8324103596126</x:v>
      </x:c>
      <x:c r="U164" t="str">
        <x:v>NORTE</x:v>
      </x:c>
      <x:c r="V164" t="str">
        <x:v>Farmacia Norte</x:v>
      </x:c>
      <x:c r="W164" t="str">
        <x:v>Zona Norte</x:v>
      </x:c>
      <x:c r="X164" t="str">
        <x:v>Quito</x:v>
      </x:c>
      <x:c r="Y164" s="32" t="str">
        <x:v>Av. 10 de Agosto N45-20</x:v>
      </x:c>
      <x:c r="Z164" s="22" t="n">
        <x:v>46261</x:v>
      </x:c>
      <x:c r="AA164" t="str">
        <x:v>Recibido</x:v>
      </x:c>
      <x:c r="AB164" t="str">
        <x:v>15 días crédito</x:v>
      </x:c>
      <x:c r="AC164" s="32" t="str"/>
    </x:row>
    <x:row r="165">
      <x:c r="A165" t="n">
        <x:v>164</x:v>
      </x:c>
      <x:c r="B165" s="22" t="n">
        <x:v>45914</x:v>
      </x:c>
      <x:c r="C165" t="str">
        <x:v>OC-2025-0164</x:v>
      </x:c>
      <x:c r="D165" t="str">
        <x:v>F-D007-202509-9858</x:v>
      </x:c>
      <x:c r="E165" t="str">
        <x:v>L2509-014-0164</x:v>
      </x:c>
      <x:c r="F165" t="str">
        <x:v>D007</x:v>
      </x:c>
      <x:c r="G165" s="32" t="str">
        <x:v>Comercializadora BioFarma</x:v>
      </x:c>
      <x:c r="H165" t="str">
        <x:v>MED014</x:v>
      </x:c>
      <x:c r="I165" s="32" t="str">
        <x:v>Crema antimicótica</x:v>
      </x:c>
      <x:c r="J165" s="32" t="str">
        <x:v>Dermatológicos</x:v>
      </x:c>
      <x:c r="K165" s="32" t="str">
        <x:v>Acromax</x:v>
      </x:c>
      <x:c r="L165" s="32" t="str">
        <x:v>Tubo 30 g</x:v>
      </x:c>
      <x:c r="M165" s="28" t="n">
        <x:v>12</x:v>
      </x:c>
      <x:c r="N165" s="28" t="n">
        <x:v>10</x:v>
      </x:c>
      <x:c r="O165" s="28" t="n">
        <x:f>M165*N165</x:f>
        <x:v>120</x:v>
      </x:c>
      <x:c r="P165" s="24" t="n">
        <x:v>2.52</x:v>
      </x:c>
      <x:c r="Q165" s="26" t="n">
        <x:v>0.057033986038326503</x:v>
      </x:c>
      <x:c r="R165" s="24" t="n">
        <x:f>O165*P165*Q165</x:f>
        <x:v>17.247077377989932</x:v>
      </x:c>
      <x:c r="S165" s="24" t="n">
        <x:f>P165*(1-Q165)</x:f>
        <x:v>2.3762743551834173</x:v>
      </x:c>
      <x:c r="T165" s="24" t="n">
        <x:f>O165*S165</x:f>
        <x:v>285.15292262201007</x:v>
      </x:c>
      <x:c r="U165" t="str">
        <x:v>NORTE</x:v>
      </x:c>
      <x:c r="V165" t="str">
        <x:v>Farmacia Norte</x:v>
      </x:c>
      <x:c r="W165" t="str">
        <x:v>Zona Norte</x:v>
      </x:c>
      <x:c r="X165" t="str">
        <x:v>Quito</x:v>
      </x:c>
      <x:c r="Y165" s="32" t="str">
        <x:v>Av. 10 de Agosto N45-20</x:v>
      </x:c>
      <x:c r="Z165" s="22" t="n">
        <x:v>45918</x:v>
      </x:c>
      <x:c r="AA165" t="str">
        <x:v>Recibido</x:v>
      </x:c>
      <x:c r="AB165" t="str">
        <x:v>15 días crédito</x:v>
      </x:c>
      <x:c r="AC165" s="32" t="str"/>
    </x:row>
    <x:row r="166">
      <x:c r="A166" t="n">
        <x:v>165</x:v>
      </x:c>
      <x:c r="B166" s="22" t="n">
        <x:v>46231</x:v>
      </x:c>
      <x:c r="C166" t="str">
        <x:v>OC-2026-0165</x:v>
      </x:c>
      <x:c r="D166" t="str">
        <x:v>F-D001-202607-6405</x:v>
      </x:c>
      <x:c r="E166" t="str">
        <x:v>L2607-011-0165</x:v>
      </x:c>
      <x:c r="F166" t="str">
        <x:v>D001</x:v>
      </x:c>
      <x:c r="G166" s="32" t="str">
        <x:v>DistriFarma Andina S.A.</x:v>
      </x:c>
      <x:c r="H166" t="str">
        <x:v>MED011</x:v>
      </x:c>
      <x:c r="I166" s="32" t="str">
        <x:v>Jarabe antigripal</x:v>
      </x:c>
      <x:c r="J166" s="32" t="str">
        <x:v>Antigripales</x:v>
      </x:c>
      <x:c r="K166" s="32" t="str">
        <x:v>MEDICAMENTA</x:v>
      </x:c>
      <x:c r="L166" s="32" t="str">
        <x:v>Frasco 120 ml</x:v>
      </x:c>
      <x:c r="M166" s="28" t="n">
        <x:v>7</x:v>
      </x:c>
      <x:c r="N166" s="28" t="n">
        <x:v>24</x:v>
      </x:c>
      <x:c r="O166" s="28" t="n">
        <x:f>M166*N166</x:f>
        <x:v>168</x:v>
      </x:c>
      <x:c r="P166" s="24" t="n">
        <x:v>2.72</x:v>
      </x:c>
      <x:c r="Q166" s="26" t="n">
        <x:v>0.05758744116728752</x:v>
      </x:c>
      <x:c r="R166" s="24" t="n">
        <x:f>O166*P166*Q166</x:f>
        <x:v>26.315157115803707</x:v>
      </x:c>
      <x:c r="S166" s="24" t="n">
        <x:f>P166*(1-Q166)</x:f>
        <x:v>2.5633621600249783</x:v>
      </x:c>
      <x:c r="T166" s="24" t="n">
        <x:f>O166*S166</x:f>
        <x:v>430.64484288419635</x:v>
      </x:c>
      <x:c r="U166" t="str">
        <x:v>VALLE</x:v>
      </x:c>
      <x:c r="V166" t="str">
        <x:v>Farmacia Valle de los Chillos</x:v>
      </x:c>
      <x:c r="W166" t="str">
        <x:v>Zona Valle</x:v>
      </x:c>
      <x:c r="X166" t="str">
        <x:v>Sangolquí</x:v>
      </x:c>
      <x:c r="Y166" s="32" t="str">
        <x:v>Av. Calderón 101</x:v>
      </x:c>
      <x:c r="Z166" s="22" t="n">
        <x:v>46234</x:v>
      </x:c>
      <x:c r="AA166" t="str">
        <x:v>Recibido</x:v>
      </x:c>
      <x:c r="AB166" t="str">
        <x:v>30 días crédito</x:v>
      </x:c>
      <x:c r="AC166" s="32" t="str"/>
    </x:row>
    <x:row r="167">
      <x:c r="A167" t="n">
        <x:v>166</x:v>
      </x:c>
      <x:c r="B167" s="22" t="n">
        <x:v>46029</x:v>
      </x:c>
      <x:c r="C167" t="str">
        <x:v>OC-2026-0166</x:v>
      </x:c>
      <x:c r="D167" t="str">
        <x:v>F-D008-202601-5679</x:v>
      </x:c>
      <x:c r="E167" t="str">
        <x:v>L2601-005-0166</x:v>
      </x:c>
      <x:c r="F167" t="str">
        <x:v>D008</x:v>
      </x:c>
      <x:c r="G167" s="32" t="str">
        <x:v>Mayorista MedicPlus</x:v>
      </x:c>
      <x:c r="H167" t="str">
        <x:v>MED005</x:v>
      </x:c>
      <x:c r="I167" s="32" t="str">
        <x:v>Loratadina 10 mg</x:v>
      </x:c>
      <x:c r="J167" s="32" t="str">
        <x:v>Antigripales</x:v>
      </x:c>
      <x:c r="K167" s="32" t="str">
        <x:v>Genfar</x:v>
      </x:c>
      <x:c r="L167" s="32" t="str">
        <x:v>Caja x 10 tabletas</x:v>
      </x:c>
      <x:c r="M167" s="28" t="n">
        <x:v>9</x:v>
      </x:c>
      <x:c r="N167" s="28" t="n">
        <x:v>20</x:v>
      </x:c>
      <x:c r="O167" s="28" t="n">
        <x:f>M167*N167</x:f>
        <x:v>180</x:v>
      </x:c>
      <x:c r="P167" s="24" t="n">
        <x:v>1.09</x:v>
      </x:c>
      <x:c r="Q167" s="26" t="n">
        <x:v>0.10906799963253398</x:v>
      </x:c>
      <x:c r="R167" s="24" t="n">
        <x:f>O167*P167*Q167</x:f>
        <x:v>21.39914152790317</x:v>
      </x:c>
      <x:c r="S167" s="24" t="n">
        <x:f>P167*(1-Q167)</x:f>
        <x:v>0.971115880400538</x:v>
      </x:c>
      <x:c r="T167" s="24" t="n">
        <x:f>O167*S167</x:f>
        <x:v>174.80085847209685</x:v>
      </x:c>
      <x:c r="U167" t="str">
        <x:v>NORTE</x:v>
      </x:c>
      <x:c r="V167" t="str">
        <x:v>Farmacia Norte</x:v>
      </x:c>
      <x:c r="W167" t="str">
        <x:v>Zona Norte</x:v>
      </x:c>
      <x:c r="X167" t="str">
        <x:v>Quito</x:v>
      </x:c>
      <x:c r="Y167" s="32" t="str">
        <x:v>Av. 10 de Agosto N45-20</x:v>
      </x:c>
      <x:c r="Z167" s="22" t="n">
        <x:v>46030</x:v>
      </x:c>
      <x:c r="AA167" t="str">
        <x:v>Recibido</x:v>
      </x:c>
      <x:c r="AB167" t="str">
        <x:v>30 días crédito</x:v>
      </x:c>
      <x:c r="AC167" s="32" t="str"/>
    </x:row>
    <x:row r="168">
      <x:c r="A168" t="n">
        <x:v>167</x:v>
      </x:c>
      <x:c r="B168" s="22" t="n">
        <x:v>45872</x:v>
      </x:c>
      <x:c r="C168" t="str">
        <x:v>OC-2025-0167</x:v>
      </x:c>
      <x:c r="D168" t="str">
        <x:v>F-D006-202508-5811</x:v>
      </x:c>
      <x:c r="E168" t="str">
        <x:v>L2508-010-0167</x:v>
      </x:c>
      <x:c r="F168" t="str">
        <x:v>D006</x:v>
      </x:c>
      <x:c r="G168" s="32" t="str">
        <x:v>Insumos Médicos del Pacífico</x:v>
      </x:c>
      <x:c r="H168" t="str">
        <x:v>MED010</x:v>
      </x:c>
      <x:c r="I168" s="32" t="str">
        <x:v>Aspirina 100 mg</x:v>
      </x:c>
      <x:c r="J168" s="32" t="str">
        <x:v>Cardiovasculares</x:v>
      </x:c>
      <x:c r="K168" s="32" t="str">
        <x:v>Bayer</x:v>
      </x:c>
      <x:c r="L168" s="32" t="str">
        <x:v>Caja x 30 tabletas</x:v>
      </x:c>
      <x:c r="M168" s="28" t="n">
        <x:v>5</x:v>
      </x:c>
      <x:c r="N168" s="28" t="n">
        <x:v>24</x:v>
      </x:c>
      <x:c r="O168" s="28" t="n">
        <x:f>M168*N168</x:f>
        <x:v>120</x:v>
      </x:c>
      <x:c r="P168" s="24" t="n">
        <x:v>1.55</x:v>
      </x:c>
      <x:c r="Q168" s="26" t="n">
        <x:v>0.12382947110781721</x:v>
      </x:c>
      <x:c r="R168" s="24" t="n">
        <x:f>O168*P168*Q168</x:f>
        <x:v>23.032281626054</x:v>
      </x:c>
      <x:c r="S168" s="24" t="n">
        <x:f>P168*(1-Q168)</x:f>
        <x:v>1.3580643197828834</x:v>
      </x:c>
      <x:c r="T168" s="24" t="n">
        <x:f>O168*S168</x:f>
        <x:v>162.967718373946</x:v>
      </x:c>
      <x:c r="U168" t="str">
        <x:v>VALLE</x:v>
      </x:c>
      <x:c r="V168" t="str">
        <x:v>Farmacia Valle de los Chillos</x:v>
      </x:c>
      <x:c r="W168" t="str">
        <x:v>Zona Valle</x:v>
      </x:c>
      <x:c r="X168" t="str">
        <x:v>Sangolquí</x:v>
      </x:c>
      <x:c r="Y168" s="32" t="str">
        <x:v>Av. Calderón 101</x:v>
      </x:c>
      <x:c r="Z168" s="22" t="n">
        <x:v>45877</x:v>
      </x:c>
      <x:c r="AA168" t="str">
        <x:v>Recibido</x:v>
      </x:c>
      <x:c r="AB168" t="str">
        <x:v>60 días crédito</x:v>
      </x:c>
      <x:c r="AC168" s="32" t="str"/>
    </x:row>
    <x:row r="169">
      <x:c r="A169" t="n">
        <x:v>168</x:v>
      </x:c>
      <x:c r="B169" s="22" t="n">
        <x:v>45782</x:v>
      </x:c>
      <x:c r="C169" t="str">
        <x:v>OC-2025-0168</x:v>
      </x:c>
      <x:c r="D169" t="str">
        <x:v>F-D005-202505-6155</x:v>
      </x:c>
      <x:c r="E169" t="str">
        <x:v>L2505-008-0168</x:v>
      </x:c>
      <x:c r="F169" t="str">
        <x:v>D005</x:v>
      </x:c>
      <x:c r="G169" s="32" t="str">
        <x:v>PharmaExpress Quito</x:v>
      </x:c>
      <x:c r="H169" t="str">
        <x:v>MED008</x:v>
      </x:c>
      <x:c r="I169" s="32" t="str">
        <x:v>Diclofenaco gel</x:v>
      </x:c>
      <x:c r="J169" s="32" t="str">
        <x:v>Dermatológicos</x:v>
      </x:c>
      <x:c r="K169" s="32" t="str">
        <x:v>Bayer</x:v>
      </x:c>
      <x:c r="L169" s="32" t="str">
        <x:v>Tubo 50 g</x:v>
      </x:c>
      <x:c r="M169" s="28" t="n">
        <x:v>5</x:v>
      </x:c>
      <x:c r="N169" s="28" t="n">
        <x:v>50</x:v>
      </x:c>
      <x:c r="O169" s="28" t="n">
        <x:f>M169*N169</x:f>
        <x:v>250</x:v>
      </x:c>
      <x:c r="P169" s="24" t="n">
        <x:v>1.85</x:v>
      </x:c>
      <x:c r="Q169" s="26" t="n">
        <x:v>0.09143776099329427</x:v>
      </x:c>
      <x:c r="R169" s="24" t="n">
        <x:f>O169*P169*Q169</x:f>
        <x:v>42.289964459398604</x:v>
      </x:c>
      <x:c r="S169" s="24" t="n">
        <x:f>P169*(1-Q169)</x:f>
        <x:v>1.6808401421624057</x:v>
      </x:c>
      <x:c r="T169" s="24" t="n">
        <x:f>O169*S169</x:f>
        <x:v>420.21003554060144</x:v>
      </x:c>
      <x:c r="U169" t="str">
        <x:v>CENTRO</x:v>
      </x:c>
      <x:c r="V169" t="str">
        <x:v>Farmacia Centro Histórico</x:v>
      </x:c>
      <x:c r="W169" t="str">
        <x:v>Zona Centro</x:v>
      </x:c>
      <x:c r="X169" t="str">
        <x:v>Quito</x:v>
      </x:c>
      <x:c r="Y169" s="32" t="str">
        <x:v>Guayaquil y Chile</x:v>
      </x:c>
      <x:c r="Z169" s="22" t="n">
        <x:v>45785</x:v>
      </x:c>
      <x:c r="AA169" t="str">
        <x:v>Recibido</x:v>
      </x:c>
      <x:c r="AB169" t="str">
        <x:v>30 días crédito</x:v>
      </x:c>
      <x:c r="AC169" s="32" t="str"/>
    </x:row>
    <x:row r="170">
      <x:c r="A170" t="n">
        <x:v>169</x:v>
      </x:c>
      <x:c r="B170" s="22" t="n">
        <x:v>46301</x:v>
      </x:c>
      <x:c r="C170" t="str">
        <x:v>OC-2026-0169</x:v>
      </x:c>
      <x:c r="D170" t="str">
        <x:v>F-D004-202610-6318</x:v>
      </x:c>
      <x:c r="E170" t="str">
        <x:v>L2610-013-0169</x:v>
      </x:c>
      <x:c r="F170" t="str">
        <x:v>D004</x:v>
      </x:c>
      <x:c r="G170" s="32" t="str">
        <x:v>Distribuidora Salud Total</x:v>
      </x:c>
      <x:c r="H170" t="str">
        <x:v>MED013</x:v>
      </x:c>
      <x:c r="I170" s="32" t="str">
        <x:v>Probióticos</x:v>
      </x:c>
      <x:c r="J170" s="32" t="str">
        <x:v>Gastrointestinales</x:v>
      </x:c>
      <x:c r="K170" s="32" t="str">
        <x:v>Laboratorios Bagó</x:v>
      </x:c>
      <x:c r="L170" s="32" t="str">
        <x:v>Caja x 10 sobres</x:v>
      </x:c>
      <x:c r="M170" s="28" t="n">
        <x:v>9</x:v>
      </x:c>
      <x:c r="N170" s="28" t="n">
        <x:v>24</x:v>
      </x:c>
      <x:c r="O170" s="28" t="n">
        <x:f>M170*N170</x:f>
        <x:v>216</x:v>
      </x:c>
      <x:c r="P170" s="24" t="n">
        <x:v>5.98</x:v>
      </x:c>
      <x:c r="Q170" s="26" t="n">
        <x:v>0.08354544935285742</x:v>
      </x:c>
      <x:c r="R170" s="24" t="n">
        <x:f>O170*P170*Q170</x:f>
        <x:v>107.91398602009887</x:v>
      </x:c>
      <x:c r="S170" s="24" t="n">
        <x:f>P170*(1-Q170)</x:f>
        <x:v>5.480398212869913</x:v>
      </x:c>
      <x:c r="T170" s="24" t="n">
        <x:f>O170*S170</x:f>
        <x:v>1183.7660139799011</x:v>
      </x:c>
      <x:c r="U170" t="str">
        <x:v>SUR</x:v>
      </x:c>
      <x:c r="V170" t="str">
        <x:v>Farmacia del Sur</x:v>
      </x:c>
      <x:c r="W170" t="str">
        <x:v>Zona Sur</x:v>
      </x:c>
      <x:c r="X170" t="str">
        <x:v>Quito</x:v>
      </x:c>
      <x:c r="Y170" s="32" t="str">
        <x:v>Av. Maldonado S25-10</x:v>
      </x:c>
      <x:c r="Z170" s="22" t="n">
        <x:v>46302</x:v>
      </x:c>
      <x:c r="AA170" t="str">
        <x:v>Recibido</x:v>
      </x:c>
      <x:c r="AB170" t="str">
        <x:v>45 días crédito</x:v>
      </x:c>
      <x:c r="AC170" s="32" t="str"/>
    </x:row>
    <x:row r="171">
      <x:c r="A171" t="n">
        <x:v>170</x:v>
      </x:c>
      <x:c r="B171" s="22" t="n">
        <x:v>45723</x:v>
      </x:c>
      <x:c r="C171" t="str">
        <x:v>OC-2025-0170</x:v>
      </x:c>
      <x:c r="D171" t="str">
        <x:v>F-D006-202503-4046</x:v>
      </x:c>
      <x:c r="E171" t="str">
        <x:v>L2503-008-0170</x:v>
      </x:c>
      <x:c r="F171" t="str">
        <x:v>D006</x:v>
      </x:c>
      <x:c r="G171" s="32" t="str">
        <x:v>Insumos Médicos del Pacífico</x:v>
      </x:c>
      <x:c r="H171" t="str">
        <x:v>MED008</x:v>
      </x:c>
      <x:c r="I171" s="32" t="str">
        <x:v>Diclofenaco gel</x:v>
      </x:c>
      <x:c r="J171" s="32" t="str">
        <x:v>Dermatológicos</x:v>
      </x:c>
      <x:c r="K171" s="32" t="str">
        <x:v>Bayer</x:v>
      </x:c>
      <x:c r="L171" s="32" t="str">
        <x:v>Tubo 50 g</x:v>
      </x:c>
      <x:c r="M171" s="28" t="n">
        <x:v>7</x:v>
      </x:c>
      <x:c r="N171" s="28" t="n">
        <x:v>24</x:v>
      </x:c>
      <x:c r="O171" s="28" t="n">
        <x:f>M171*N171</x:f>
        <x:v>168</x:v>
      </x:c>
      <x:c r="P171" s="24" t="n">
        <x:v>1.94</x:v>
      </x:c>
      <x:c r="Q171" s="26" t="n">
        <x:v>0.11220650724508476</x:v>
      </x:c>
      <x:c r="R171" s="24" t="n">
        <x:f>O171*P171*Q171</x:f>
        <x:v>36.570344841318025</x:v>
      </x:c>
      <x:c r="S171" s="24" t="n">
        <x:f>P171*(1-Q171)</x:f>
        <x:v>1.7223193759445357</x:v>
      </x:c>
      <x:c r="T171" s="24" t="n">
        <x:f>O171*S171</x:f>
        <x:v>289.34965515868197</x:v>
      </x:c>
      <x:c r="U171" t="str">
        <x:v>CENTRO</x:v>
      </x:c>
      <x:c r="V171" t="str">
        <x:v>Farmacia Centro Histórico</x:v>
      </x:c>
      <x:c r="W171" t="str">
        <x:v>Zona Centro</x:v>
      </x:c>
      <x:c r="X171" t="str">
        <x:v>Quito</x:v>
      </x:c>
      <x:c r="Y171" s="32" t="str">
        <x:v>Guayaquil y Chile</x:v>
      </x:c>
      <x:c r="Z171" s="22" t="n">
        <x:v>45725</x:v>
      </x:c>
      <x:c r="AA171" t="str">
        <x:v>Recibido</x:v>
      </x:c>
      <x:c r="AB171" t="str">
        <x:v>60 días crédito</x:v>
      </x:c>
      <x:c r="AC171" s="32" t="str">
        <x:v>Entrega coordinada fuera de horario regular</x:v>
      </x:c>
    </x:row>
    <x:row r="172">
      <x:c r="A172" t="n">
        <x:v>171</x:v>
      </x:c>
      <x:c r="B172" s="22" t="n">
        <x:v>46027</x:v>
      </x:c>
      <x:c r="C172" t="str">
        <x:v>OC-2026-0171</x:v>
      </x:c>
      <x:c r="D172" t="str">
        <x:v>F-D008-202601-3865</x:v>
      </x:c>
      <x:c r="E172" t="str">
        <x:v>L2601-009-0171</x:v>
      </x:c>
      <x:c r="F172" t="str">
        <x:v>D008</x:v>
      </x:c>
      <x:c r="G172" s="32" t="str">
        <x:v>Mayorista MedicPlus</x:v>
      </x:c>
      <x:c r="H172" t="str">
        <x:v>MED009</x:v>
      </x:c>
      <x:c r="I172" s="32" t="str">
        <x:v>Losartán 50 mg</x:v>
      </x:c>
      <x:c r="J172" s="32" t="str">
        <x:v>Cardiovasculares</x:v>
      </x:c>
      <x:c r="K172" s="32" t="str">
        <x:v>Laboratorios Bagó</x:v>
      </x:c>
      <x:c r="L172" s="32" t="str">
        <x:v>Caja x 30 tabletas</x:v>
      </x:c>
      <x:c r="M172" s="28" t="n">
        <x:v>12</x:v>
      </x:c>
      <x:c r="N172" s="28" t="n">
        <x:v>50</x:v>
      </x:c>
      <x:c r="O172" s="28" t="n">
        <x:f>M172*N172</x:f>
        <x:v>600</x:v>
      </x:c>
      <x:c r="P172" s="24" t="n">
        <x:v>2.89</x:v>
      </x:c>
      <x:c r="Q172" s="26" t="n">
        <x:v>0.13244273452672983</x:v>
      </x:c>
      <x:c r="R172" s="24" t="n">
        <x:f>O172*P172*Q172</x:f>
        <x:v>229.65570166934953</x:v>
      </x:c>
      <x:c r="S172" s="24" t="n">
        <x:f>P172*(1-Q172)</x:f>
        <x:v>2.507240497217751</x:v>
      </x:c>
      <x:c r="T172" s="24" t="n">
        <x:f>O172*S172</x:f>
        <x:v>1504.3442983306504</x:v>
      </x:c>
      <x:c r="U172" t="str">
        <x:v>NORTE</x:v>
      </x:c>
      <x:c r="V172" t="str">
        <x:v>Farmacia Norte</x:v>
      </x:c>
      <x:c r="W172" t="str">
        <x:v>Zona Norte</x:v>
      </x:c>
      <x:c r="X172" t="str">
        <x:v>Quito</x:v>
      </x:c>
      <x:c r="Y172" s="32" t="str">
        <x:v>Av. 10 de Agosto N45-20</x:v>
      </x:c>
      <x:c r="Z172" s="22" t="n">
        <x:v>46029</x:v>
      </x:c>
      <x:c r="AA172" t="str">
        <x:v>Recibido</x:v>
      </x:c>
      <x:c r="AB172" t="str">
        <x:v>30 días crédito</x:v>
      </x:c>
      <x:c r="AC172" s="32" t="str">
        <x:v>Descuento por volumen</x:v>
      </x:c>
    </x:row>
    <x:row r="173">
      <x:c r="A173" t="n">
        <x:v>172</x:v>
      </x:c>
      <x:c r="B173" s="22" t="n">
        <x:v>46176</x:v>
      </x:c>
      <x:c r="C173" t="str">
        <x:v>OC-2026-0172</x:v>
      </x:c>
      <x:c r="D173" t="str">
        <x:v>F-D008-202606-1752</x:v>
      </x:c>
      <x:c r="E173" t="str">
        <x:v>L2606-009-0172</x:v>
      </x:c>
      <x:c r="F173" t="str">
        <x:v>D008</x:v>
      </x:c>
      <x:c r="G173" s="32" t="str">
        <x:v>Mayorista MedicPlus</x:v>
      </x:c>
      <x:c r="H173" t="str">
        <x:v>MED009</x:v>
      </x:c>
      <x:c r="I173" s="32" t="str">
        <x:v>Losartán 50 mg</x:v>
      </x:c>
      <x:c r="J173" s="32" t="str">
        <x:v>Cardiovasculares</x:v>
      </x:c>
      <x:c r="K173" s="32" t="str">
        <x:v>Laboratorios Bagó</x:v>
      </x:c>
      <x:c r="L173" s="32" t="str">
        <x:v>Caja x 30 tabletas</x:v>
      </x:c>
      <x:c r="M173" s="28" t="n">
        <x:v>8</x:v>
      </x:c>
      <x:c r="N173" s="28" t="n">
        <x:v>60</x:v>
      </x:c>
      <x:c r="O173" s="28" t="n">
        <x:f>M173*N173</x:f>
        <x:v>480</x:v>
      </x:c>
      <x:c r="P173" s="24" t="n">
        <x:v>2.81</x:v>
      </x:c>
      <x:c r="Q173" s="26" t="n">
        <x:v>0.11390479147492177</x:v>
      </x:c>
      <x:c r="R173" s="24" t="n">
        <x:f>O173*P173*Q173</x:f>
        <x:v>153.6347827413745</x:v>
      </x:c>
      <x:c r="S173" s="24" t="n">
        <x:f>P173*(1-Q173)</x:f>
        <x:v>2.4899275359554696</x:v>
      </x:c>
      <x:c r="T173" s="24" t="n">
        <x:f>O173*S173</x:f>
        <x:v>1195.1652172586255</x:v>
      </x:c>
      <x:c r="U173" t="str">
        <x:v>SUR</x:v>
      </x:c>
      <x:c r="V173" t="str">
        <x:v>Farmacia del Sur</x:v>
      </x:c>
      <x:c r="W173" t="str">
        <x:v>Zona Sur</x:v>
      </x:c>
      <x:c r="X173" t="str">
        <x:v>Quito</x:v>
      </x:c>
      <x:c r="Y173" s="32" t="str">
        <x:v>Av. Maldonado S25-10</x:v>
      </x:c>
      <x:c r="Z173" s="22" t="n">
        <x:v>46180</x:v>
      </x:c>
      <x:c r="AA173" t="str">
        <x:v>Recibido</x:v>
      </x:c>
      <x:c r="AB173" t="str">
        <x:v>30 días crédito</x:v>
      </x:c>
      <x:c r="AC173" s="32" t="str">
        <x:v>Entrega coordinada fuera de horario regular</x:v>
      </x:c>
    </x:row>
    <x:row r="174">
      <x:c r="A174" t="n">
        <x:v>173</x:v>
      </x:c>
      <x:c r="B174" s="22" t="n">
        <x:v>45810</x:v>
      </x:c>
      <x:c r="C174" t="str">
        <x:v>OC-2025-0173</x:v>
      </x:c>
      <x:c r="D174" t="str">
        <x:v>F-D001-202506-9603</x:v>
      </x:c>
      <x:c r="E174" t="str">
        <x:v>L2506-002-0173</x:v>
      </x:c>
      <x:c r="F174" t="str">
        <x:v>D001</x:v>
      </x:c>
      <x:c r="G174" s="32" t="str">
        <x:v>DistriFarma Andina S.A.</x:v>
      </x:c>
      <x:c r="H174" t="str">
        <x:v>MED002</x:v>
      </x:c>
      <x:c r="I174" s="32" t="str">
        <x:v>Ibuprofeno 400 mg</x:v>
      </x:c>
      <x:c r="J174" s="32" t="str">
        <x:v>Analgésicos</x:v>
      </x:c>
      <x:c r="K174" s="32" t="str">
        <x:v>La Santé</x:v>
      </x:c>
      <x:c r="L174" s="32" t="str">
        <x:v>Caja x 20 tabletas</x:v>
      </x:c>
      <x:c r="M174" s="28" t="n">
        <x:v>10</x:v>
      </x:c>
      <x:c r="N174" s="28" t="n">
        <x:v>60</x:v>
      </x:c>
      <x:c r="O174" s="28" t="n">
        <x:f>M174*N174</x:f>
        <x:v>600</x:v>
      </x:c>
      <x:c r="P174" s="24" t="n">
        <x:v>1.29</x:v>
      </x:c>
      <x:c r="Q174" s="26" t="n">
        <x:v>0.10500453545883551</x:v>
      </x:c>
      <x:c r="R174" s="24" t="n">
        <x:f>O174*P174*Q174</x:f>
        <x:v>81.27351044513868</x:v>
      </x:c>
      <x:c r="S174" s="24" t="n">
        <x:f>P174*(1-Q174)</x:f>
        <x:v>1.1545441492581023</x:v>
      </x:c>
      <x:c r="T174" s="24" t="n">
        <x:f>O174*S174</x:f>
        <x:v>692.7264895548614</x:v>
      </x:c>
      <x:c r="U174" t="str">
        <x:v>SUR</x:v>
      </x:c>
      <x:c r="V174" t="str">
        <x:v>Farmacia del Sur</x:v>
      </x:c>
      <x:c r="W174" t="str">
        <x:v>Zona Sur</x:v>
      </x:c>
      <x:c r="X174" t="str">
        <x:v>Quito</x:v>
      </x:c>
      <x:c r="Y174" s="32" t="str">
        <x:v>Av. Maldonado S25-10</x:v>
      </x:c>
      <x:c r="Z174" s="22" t="n">
        <x:v>45813</x:v>
      </x:c>
      <x:c r="AA174" t="str">
        <x:v>Recibido</x:v>
      </x:c>
      <x:c r="AB174" t="str">
        <x:v>30 días crédito</x:v>
      </x:c>
      <x:c r="AC174" s="32" t="str"/>
    </x:row>
    <x:row r="175">
      <x:c r="A175" t="n">
        <x:v>174</x:v>
      </x:c>
      <x:c r="B175" s="22" t="n">
        <x:v>45826</x:v>
      </x:c>
      <x:c r="C175" t="str">
        <x:v>OC-2025-0174</x:v>
      </x:c>
      <x:c r="D175" t="str">
        <x:v>F-D008-202506-8033</x:v>
      </x:c>
      <x:c r="E175" t="str">
        <x:v>L2506-004-0174</x:v>
      </x:c>
      <x:c r="F175" t="str">
        <x:v>D008</x:v>
      </x:c>
      <x:c r="G175" s="32" t="str">
        <x:v>Mayorista MedicPlus</x:v>
      </x:c>
      <x:c r="H175" t="str">
        <x:v>MED004</x:v>
      </x:c>
      <x:c r="I175" s="32" t="str">
        <x:v>Azitromicina 500 mg</x:v>
      </x:c>
      <x:c r="J175" s="32" t="str">
        <x:v>Antibióticos</x:v>
      </x:c>
      <x:c r="K175" s="32" t="str">
        <x:v>Pfizer</x:v>
      </x:c>
      <x:c r="L175" s="32" t="str">
        <x:v>Caja x 3 tabletas</x:v>
      </x:c>
      <x:c r="M175" s="28" t="n">
        <x:v>6</x:v>
      </x:c>
      <x:c r="N175" s="28" t="n">
        <x:v>30</x:v>
      </x:c>
      <x:c r="O175" s="28" t="n">
        <x:f>M175*N175</x:f>
        <x:v>180</x:v>
      </x:c>
      <x:c r="P175" s="24" t="n">
        <x:v>5.08</x:v>
      </x:c>
      <x:c r="Q175" s="26" t="n">
        <x:v>0.11281167022660916</x:v>
      </x:c>
      <x:c r="R175" s="24" t="n">
        <x:f>O175*P175*Q175</x:f>
        <x:v>103.15499125521141</x:v>
      </x:c>
      <x:c r="S175" s="24" t="n">
        <x:f>P175*(1-Q175)</x:f>
        <x:v>4.506916715248825</x:v>
      </x:c>
      <x:c r="T175" s="24" t="n">
        <x:f>O175*S175</x:f>
        <x:v>811.2450087447885</x:v>
      </x:c>
      <x:c r="U175" t="str">
        <x:v>CENTRO</x:v>
      </x:c>
      <x:c r="V175" t="str">
        <x:v>Farmacia Centro Histórico</x:v>
      </x:c>
      <x:c r="W175" t="str">
        <x:v>Zona Centro</x:v>
      </x:c>
      <x:c r="X175" t="str">
        <x:v>Quito</x:v>
      </x:c>
      <x:c r="Y175" s="32" t="str">
        <x:v>Guayaquil y Chile</x:v>
      </x:c>
      <x:c r="Z175" s="22" t="n">
        <x:v>45827</x:v>
      </x:c>
      <x:c r="AA175" t="str">
        <x:v>Recibido</x:v>
      </x:c>
      <x:c r="AB175" t="str">
        <x:v>30 días crédito</x:v>
      </x:c>
      <x:c r="AC175" s="32" t="str"/>
    </x:row>
    <x:row r="176">
      <x:c r="A176" t="n">
        <x:v>175</x:v>
      </x:c>
      <x:c r="B176" s="22" t="n">
        <x:v>46317</x:v>
      </x:c>
      <x:c r="C176" t="str">
        <x:v>OC-2026-0175</x:v>
      </x:c>
      <x:c r="D176" t="str">
        <x:v>F-D003-202610-6625</x:v>
      </x:c>
      <x:c r="E176" t="str">
        <x:v>L2610-003-0175</x:v>
      </x:c>
      <x:c r="F176" t="str">
        <x:v>D003</x:v>
      </x:c>
      <x:c r="G176" s="32" t="str">
        <x:v>FarmaLogística Sierra</x:v>
      </x:c>
      <x:c r="H176" t="str">
        <x:v>MED003</x:v>
      </x:c>
      <x:c r="I176" s="32" t="str">
        <x:v>Amoxicilina 500 mg</x:v>
      </x:c>
      <x:c r="J176" s="32" t="str">
        <x:v>Antibióticos</x:v>
      </x:c>
      <x:c r="K176" s="32" t="str">
        <x:v>Acromax</x:v>
      </x:c>
      <x:c r="L176" s="32" t="str">
        <x:v>Caja x 21 cápsulas</x:v>
      </x:c>
      <x:c r="M176" s="28" t="n">
        <x:v>10</x:v>
      </x:c>
      <x:c r="N176" s="28" t="n">
        <x:v>24</x:v>
      </x:c>
      <x:c r="O176" s="28" t="n">
        <x:f>M176*N176</x:f>
        <x:v>240</x:v>
      </x:c>
      <x:c r="P176" s="24" t="n">
        <x:v>4.59</x:v>
      </x:c>
      <x:c r="Q176" s="26" t="n">
        <x:v>0.03647539405363609</x:v>
      </x:c>
      <x:c r="R176" s="24" t="n">
        <x:f>O176*P176*Q176</x:f>
        <x:v>40.18129408948551</x:v>
      </x:c>
      <x:c r="S176" s="24" t="n">
        <x:f>P176*(1-Q176)</x:f>
        <x:v>4.42257794129381</x:v>
      </x:c>
      <x:c r="T176" s="24" t="n">
        <x:f>O176*S176</x:f>
        <x:v>1061.4187059105145</x:v>
      </x:c>
      <x:c r="U176" t="str">
        <x:v>NORTE</x:v>
      </x:c>
      <x:c r="V176" t="str">
        <x:v>Farmacia Norte</x:v>
      </x:c>
      <x:c r="W176" t="str">
        <x:v>Zona Norte</x:v>
      </x:c>
      <x:c r="X176" t="str">
        <x:v>Quito</x:v>
      </x:c>
      <x:c r="Y176" s="32" t="str">
        <x:v>Av. 10 de Agosto N45-20</x:v>
      </x:c>
      <x:c r="Z176" s="22" t="n">
        <x:v>46318</x:v>
      </x:c>
      <x:c r="AA176" t="str">
        <x:v>Recibido</x:v>
      </x:c>
      <x:c r="AB176" t="str">
        <x:v>Contado contra entrega</x:v>
      </x:c>
      <x:c r="AC176" s="32" t="str"/>
    </x:row>
    <x:row r="177">
      <x:c r="A177" t="n">
        <x:v>176</x:v>
      </x:c>
      <x:c r="B177" s="22" t="n">
        <x:v>46263</x:v>
      </x:c>
      <x:c r="C177" t="str">
        <x:v>OC-2026-0176</x:v>
      </x:c>
      <x:c r="D177" t="str">
        <x:v>F-D005-202608-8548</x:v>
      </x:c>
      <x:c r="E177" t="str">
        <x:v>L2608-010-0176</x:v>
      </x:c>
      <x:c r="F177" t="str">
        <x:v>D005</x:v>
      </x:c>
      <x:c r="G177" s="32" t="str">
        <x:v>PharmaExpress Quito</x:v>
      </x:c>
      <x:c r="H177" t="str">
        <x:v>MED010</x:v>
      </x:c>
      <x:c r="I177" s="32" t="str">
        <x:v>Aspirina 100 mg</x:v>
      </x:c>
      <x:c r="J177" s="32" t="str">
        <x:v>Cardiovasculares</x:v>
      </x:c>
      <x:c r="K177" s="32" t="str">
        <x:v>Bayer</x:v>
      </x:c>
      <x:c r="L177" s="32" t="str">
        <x:v>Caja x 30 tabletas</x:v>
      </x:c>
      <x:c r="M177" s="28" t="n">
        <x:v>18</x:v>
      </x:c>
      <x:c r="N177" s="28" t="n">
        <x:v>10</x:v>
      </x:c>
      <x:c r="O177" s="28" t="n">
        <x:f>M177*N177</x:f>
        <x:v>180</x:v>
      </x:c>
      <x:c r="P177" s="24" t="n">
        <x:v>1.71</x:v>
      </x:c>
      <x:c r="Q177" s="26" t="n">
        <x:v>0.09227382365635313</x:v>
      </x:c>
      <x:c r="R177" s="24" t="n">
        <x:f>O177*P177*Q177</x:f>
        <x:v>28.401882921425493</x:v>
      </x:c>
      <x:c r="S177" s="24" t="n">
        <x:f>P177*(1-Q177)</x:f>
        <x:v>1.552211761547636</x:v>
      </x:c>
      <x:c r="T177" s="24" t="n">
        <x:f>O177*S177</x:f>
        <x:v>279.3981170785745</x:v>
      </x:c>
      <x:c r="U177" t="str">
        <x:v>CENTRO</x:v>
      </x:c>
      <x:c r="V177" t="str">
        <x:v>Farmacia Centro Histórico</x:v>
      </x:c>
      <x:c r="W177" t="str">
        <x:v>Zona Centro</x:v>
      </x:c>
      <x:c r="X177" t="str">
        <x:v>Quito</x:v>
      </x:c>
      <x:c r="Y177" s="32" t="str">
        <x:v>Guayaquil y Chile</x:v>
      </x:c>
      <x:c r="Z177" s="22" t="n">
        <x:v>46266</x:v>
      </x:c>
      <x:c r="AA177" t="str">
        <x:v>Recibido</x:v>
      </x:c>
      <x:c r="AB177" t="str">
        <x:v>30 días crédito</x:v>
      </x:c>
      <x:c r="AC177" s="32" t="str"/>
    </x:row>
    <x:row r="178">
      <x:c r="A178" t="n">
        <x:v>177</x:v>
      </x:c>
      <x:c r="B178" s="22" t="n">
        <x:v>45903</x:v>
      </x:c>
      <x:c r="C178" t="str">
        <x:v>OC-2025-0177</x:v>
      </x:c>
      <x:c r="D178" t="str">
        <x:v>F-D007-202509-9265</x:v>
      </x:c>
      <x:c r="E178" t="str">
        <x:v>L2509-011-0177</x:v>
      </x:c>
      <x:c r="F178" t="str">
        <x:v>D007</x:v>
      </x:c>
      <x:c r="G178" s="32" t="str">
        <x:v>Comercializadora BioFarma</x:v>
      </x:c>
      <x:c r="H178" t="str">
        <x:v>MED011</x:v>
      </x:c>
      <x:c r="I178" s="32" t="str">
        <x:v>Jarabe antigripal</x:v>
      </x:c>
      <x:c r="J178" s="32" t="str">
        <x:v>Antigripales</x:v>
      </x:c>
      <x:c r="K178" s="32" t="str">
        <x:v>MEDICAMENTA</x:v>
      </x:c>
      <x:c r="L178" s="32" t="str">
        <x:v>Frasco 120 ml</x:v>
      </x:c>
      <x:c r="M178" s="28" t="n">
        <x:v>25</x:v>
      </x:c>
      <x:c r="N178" s="28" t="n">
        <x:v>24</x:v>
      </x:c>
      <x:c r="O178" s="28" t="n">
        <x:f>M178*N178</x:f>
        <x:v>600</x:v>
      </x:c>
      <x:c r="P178" s="24" t="n">
        <x:v>2.59</x:v>
      </x:c>
      <x:c r="Q178" s="26" t="n">
        <x:v>0.09424632498191933</x:v>
      </x:c>
      <x:c r="R178" s="24" t="n">
        <x:f>O178*P178*Q178</x:f>
        <x:v>146.45878902190265</x:v>
      </x:c>
      <x:c r="S178" s="24" t="n">
        <x:f>P178*(1-Q178)</x:f>
        <x:v>2.3459020182968287</x:v>
      </x:c>
      <x:c r="T178" s="24" t="n">
        <x:f>O178*S178</x:f>
        <x:v>1407.5412109780973</x:v>
      </x:c>
      <x:c r="U178" t="str">
        <x:v>NORTE</x:v>
      </x:c>
      <x:c r="V178" t="str">
        <x:v>Farmacia Norte</x:v>
      </x:c>
      <x:c r="W178" t="str">
        <x:v>Zona Norte</x:v>
      </x:c>
      <x:c r="X178" t="str">
        <x:v>Quito</x:v>
      </x:c>
      <x:c r="Y178" s="32" t="str">
        <x:v>Av. 10 de Agosto N45-20</x:v>
      </x:c>
      <x:c r="Z178" s="22" t="n">
        <x:v>45905</x:v>
      </x:c>
      <x:c r="AA178" t="str">
        <x:v>Recibido</x:v>
      </x:c>
      <x:c r="AB178" t="str">
        <x:v>15 días crédito</x:v>
      </x:c>
      <x:c r="AC178" s="32" t="str"/>
    </x:row>
    <x:row r="179">
      <x:c r="A179" t="n">
        <x:v>178</x:v>
      </x:c>
      <x:c r="B179" s="22" t="n">
        <x:v>45842</x:v>
      </x:c>
      <x:c r="C179" t="str">
        <x:v>OC-2025-0178</x:v>
      </x:c>
      <x:c r="D179" t="str">
        <x:v>F-D001-202507-5070</x:v>
      </x:c>
      <x:c r="E179" t="str">
        <x:v>L2507-001-0178</x:v>
      </x:c>
      <x:c r="F179" t="str">
        <x:v>D001</x:v>
      </x:c>
      <x:c r="G179" s="32" t="str">
        <x:v>DistriFarma Andina S.A.</x:v>
      </x:c>
      <x:c r="H179" t="str">
        <x:v>MED001</x:v>
      </x:c>
      <x:c r="I179" s="32" t="str">
        <x:v>Paracetamol 500 mg</x:v>
      </x:c>
      <x:c r="J179" s="32" t="str">
        <x:v>Analgésicos</x:v>
      </x:c>
      <x:c r="K179" s="32" t="str">
        <x:v>Genfar</x:v>
      </x:c>
      <x:c r="L179" s="32" t="str">
        <x:v>Caja x 20 tabletas</x:v>
      </x:c>
      <x:c r="M179" s="28" t="n">
        <x:v>4</x:v>
      </x:c>
      <x:c r="N179" s="28" t="n">
        <x:v>60</x:v>
      </x:c>
      <x:c r="O179" s="28" t="n">
        <x:f>M179*N179</x:f>
        <x:v>240</x:v>
      </x:c>
      <x:c r="P179" s="24" t="n">
        <x:v>0.83</x:v>
      </x:c>
      <x:c r="Q179" s="26" t="n">
        <x:v>0.09903770339662216</x:v>
      </x:c>
      <x:c r="R179" s="24" t="n">
        <x:f>O179*P179*Q179</x:f>
        <x:v>19.72831051660713</x:v>
      </x:c>
      <x:c r="S179" s="24" t="n">
        <x:f>P179*(1-Q179)</x:f>
        <x:v>0.7477987061808036</x:v>
      </x:c>
      <x:c r="T179" s="24" t="n">
        <x:f>O179*S179</x:f>
        <x:v>179.47168948339285</x:v>
      </x:c>
      <x:c r="U179" t="str">
        <x:v>CENTRO</x:v>
      </x:c>
      <x:c r="V179" t="str">
        <x:v>Farmacia Centro Histórico</x:v>
      </x:c>
      <x:c r="W179" t="str">
        <x:v>Zona Centro</x:v>
      </x:c>
      <x:c r="X179" t="str">
        <x:v>Quito</x:v>
      </x:c>
      <x:c r="Y179" s="32" t="str">
        <x:v>Guayaquil y Chile</x:v>
      </x:c>
      <x:c r="Z179" s="22" t="n">
        <x:v>45843</x:v>
      </x:c>
      <x:c r="AA179" t="str">
        <x:v>Recibido</x:v>
      </x:c>
      <x:c r="AB179" t="str">
        <x:v>30 días crédito</x:v>
      </x:c>
      <x:c r="AC179" s="32" t="str">
        <x:v>Entrega coordinada fuera de horario regular</x:v>
      </x:c>
    </x:row>
    <x:row r="180">
      <x:c r="A180" t="n">
        <x:v>179</x:v>
      </x:c>
      <x:c r="B180" s="22" t="n">
        <x:v>46250</x:v>
      </x:c>
      <x:c r="C180" t="str">
        <x:v>OC-2026-0179</x:v>
      </x:c>
      <x:c r="D180" t="str">
        <x:v>F-D006-202608-9393</x:v>
      </x:c>
      <x:c r="E180" t="str">
        <x:v>L2608-009-0179</x:v>
      </x:c>
      <x:c r="F180" t="str">
        <x:v>D006</x:v>
      </x:c>
      <x:c r="G180" s="32" t="str">
        <x:v>Insumos Médicos del Pacífico</x:v>
      </x:c>
      <x:c r="H180" t="str">
        <x:v>MED009</x:v>
      </x:c>
      <x:c r="I180" s="32" t="str">
        <x:v>Losartán 50 mg</x:v>
      </x:c>
      <x:c r="J180" s="32" t="str">
        <x:v>Cardiovasculares</x:v>
      </x:c>
      <x:c r="K180" s="32" t="str">
        <x:v>Laboratorios Bagó</x:v>
      </x:c>
      <x:c r="L180" s="32" t="str">
        <x:v>Caja x 30 tabletas</x:v>
      </x:c>
      <x:c r="M180" s="28" t="n">
        <x:v>2</x:v>
      </x:c>
      <x:c r="N180" s="28" t="n">
        <x:v>50</x:v>
      </x:c>
      <x:c r="O180" s="28" t="n">
        <x:f>M180*N180</x:f>
        <x:v>100</x:v>
      </x:c>
      <x:c r="P180" s="24" t="n">
        <x:v>3.02</x:v>
      </x:c>
      <x:c r="Q180" s="26" t="n">
        <x:v>0.1166800279096872</x:v>
      </x:c>
      <x:c r="R180" s="24" t="n">
        <x:f>O180*P180*Q180</x:f>
        <x:v>35.23736842872554</x:v>
      </x:c>
      <x:c r="S180" s="24" t="n">
        <x:f>P180*(1-Q180)</x:f>
        <x:v>2.6676263157127447</x:v>
      </x:c>
      <x:c r="T180" s="24" t="n">
        <x:f>O180*S180</x:f>
        <x:v>266.7626315712745</x:v>
      </x:c>
      <x:c r="U180" t="str">
        <x:v>CENTRO</x:v>
      </x:c>
      <x:c r="V180" t="str">
        <x:v>Farmacia Centro Histórico</x:v>
      </x:c>
      <x:c r="W180" t="str">
        <x:v>Zona Centro</x:v>
      </x:c>
      <x:c r="X180" t="str">
        <x:v>Quito</x:v>
      </x:c>
      <x:c r="Y180" s="32" t="str">
        <x:v>Guayaquil y Chile</x:v>
      </x:c>
      <x:c r="Z180" s="22" t="n">
        <x:v>46252</x:v>
      </x:c>
      <x:c r="AA180" t="str">
        <x:v>Recibido</x:v>
      </x:c>
      <x:c r="AB180" t="str">
        <x:v>60 días crédito</x:v>
      </x:c>
      <x:c r="AC180" s="32" t="str"/>
    </x:row>
    <x:row r="181">
      <x:c r="A181" t="n">
        <x:v>180</x:v>
      </x:c>
      <x:c r="B181" s="22" t="n">
        <x:v>45969</x:v>
      </x:c>
      <x:c r="C181" t="str">
        <x:v>OC-2025-0180</x:v>
      </x:c>
      <x:c r="D181" t="str">
        <x:v>F-D003-202511-2457</x:v>
      </x:c>
      <x:c r="E181" t="str">
        <x:v>L2511-005-0180</x:v>
      </x:c>
      <x:c r="F181" t="str">
        <x:v>D003</x:v>
      </x:c>
      <x:c r="G181" s="32" t="str">
        <x:v>FarmaLogística Sierra</x:v>
      </x:c>
      <x:c r="H181" t="str">
        <x:v>MED005</x:v>
      </x:c>
      <x:c r="I181" s="32" t="str">
        <x:v>Loratadina 10 mg</x:v>
      </x:c>
      <x:c r="J181" s="32" t="str">
        <x:v>Antigripales</x:v>
      </x:c>
      <x:c r="K181" s="32" t="str">
        <x:v>Genfar</x:v>
      </x:c>
      <x:c r="L181" s="32" t="str">
        <x:v>Caja x 10 tabletas</x:v>
      </x:c>
      <x:c r="M181" s="28" t="n">
        <x:v>9</x:v>
      </x:c>
      <x:c r="N181" s="28" t="n">
        <x:v>20</x:v>
      </x:c>
      <x:c r="O181" s="28" t="n">
        <x:f>M181*N181</x:f>
        <x:v>180</x:v>
      </x:c>
      <x:c r="P181" s="24" t="n">
        <x:v>1.01</x:v>
      </x:c>
      <x:c r="Q181" s="26" t="n">
        <x:v>0.03951095345491005</x:v>
      </x:c>
      <x:c r="R181" s="24" t="n">
        <x:f>O181*P181*Q181</x:f>
        <x:v>7.183091338102647</x:v>
      </x:c>
      <x:c r="S181" s="24" t="n">
        <x:f>P181*(1-Q181)</x:f>
        <x:v>0.9700939370105408</x:v>
      </x:c>
      <x:c r="T181" s="24" t="n">
        <x:f>O181*S181</x:f>
        <x:v>174.61690866189736</x:v>
      </x:c>
      <x:c r="U181" t="str">
        <x:v>VALLE</x:v>
      </x:c>
      <x:c r="V181" t="str">
        <x:v>Farmacia Valle de los Chillos</x:v>
      </x:c>
      <x:c r="W181" t="str">
        <x:v>Zona Valle</x:v>
      </x:c>
      <x:c r="X181" t="str">
        <x:v>Sangolquí</x:v>
      </x:c>
      <x:c r="Y181" s="32" t="str">
        <x:v>Av. Calderón 101</x:v>
      </x:c>
      <x:c r="Z181" s="22" t="n">
        <x:v>45971</x:v>
      </x:c>
      <x:c r="AA181" t="str">
        <x:v>Recibido</x:v>
      </x:c>
      <x:c r="AB181" t="str">
        <x:v>Contado contra entrega</x:v>
      </x:c>
      <x:c r="AC181" s="32" t="str"/>
    </x:row>
    <x:row r="182">
      <x:c r="A182" t="n">
        <x:v>181</x:v>
      </x:c>
      <x:c r="B182" s="22" t="n">
        <x:v>45762</x:v>
      </x:c>
      <x:c r="C182" t="str">
        <x:v>OC-2025-0181</x:v>
      </x:c>
      <x:c r="D182" t="str">
        <x:v>F-D008-202504-8095</x:v>
      </x:c>
      <x:c r="E182" t="str">
        <x:v>L2504-004-0181</x:v>
      </x:c>
      <x:c r="F182" t="str">
        <x:v>D008</x:v>
      </x:c>
      <x:c r="G182" s="32" t="str">
        <x:v>Mayorista MedicPlus</x:v>
      </x:c>
      <x:c r="H182" t="str">
        <x:v>MED004</x:v>
      </x:c>
      <x:c r="I182" s="32" t="str">
        <x:v>Azitromicina 500 mg</x:v>
      </x:c>
      <x:c r="J182" s="32" t="str">
        <x:v>Antibióticos</x:v>
      </x:c>
      <x:c r="K182" s="32" t="str">
        <x:v>Pfizer</x:v>
      </x:c>
      <x:c r="L182" s="32" t="str">
        <x:v>Caja x 3 tabletas</x:v>
      </x:c>
      <x:c r="M182" s="28" t="n">
        <x:v>2</x:v>
      </x:c>
      <x:c r="N182" s="28" t="n">
        <x:v>50</x:v>
      </x:c>
      <x:c r="O182" s="28" t="n">
        <x:f>M182*N182</x:f>
        <x:v>100</x:v>
      </x:c>
      <x:c r="P182" s="24" t="n">
        <x:v>5.13</x:v>
      </x:c>
      <x:c r="Q182" s="26" t="n">
        <x:v>0.08333294559102022</x:v>
      </x:c>
      <x:c r="R182" s="24" t="n">
        <x:f>O182*P182*Q182</x:f>
        <x:v>42.74980108819337</x:v>
      </x:c>
      <x:c r="S182" s="24" t="n">
        <x:f>P182*(1-Q182)</x:f>
        <x:v>4.702501989118066</x:v>
      </x:c>
      <x:c r="T182" s="24" t="n">
        <x:f>O182*S182</x:f>
        <x:v>470.25019891180665</x:v>
      </x:c>
      <x:c r="U182" t="str">
        <x:v>VALLE</x:v>
      </x:c>
      <x:c r="V182" t="str">
        <x:v>Farmacia Valle de los Chillos</x:v>
      </x:c>
      <x:c r="W182" t="str">
        <x:v>Zona Valle</x:v>
      </x:c>
      <x:c r="X182" t="str">
        <x:v>Sangolquí</x:v>
      </x:c>
      <x:c r="Y182" s="32" t="str">
        <x:v>Av. Calderón 101</x:v>
      </x:c>
      <x:c r="Z182" s="22" t="n">
        <x:v>45766</x:v>
      </x:c>
      <x:c r="AA182" t="str">
        <x:v>Recibido</x:v>
      </x:c>
      <x:c r="AB182" t="str">
        <x:v>30 días crédito</x:v>
      </x:c>
      <x:c r="AC182" s="32" t="str">
        <x:v>Entrega coordinada fuera de horario regular</x:v>
      </x:c>
    </x:row>
    <x:row r="183">
      <x:c r="A183" t="n">
        <x:v>182</x:v>
      </x:c>
      <x:c r="B183" s="22" t="n">
        <x:v>45963</x:v>
      </x:c>
      <x:c r="C183" t="str">
        <x:v>OC-2025-0182</x:v>
      </x:c>
      <x:c r="D183" t="str">
        <x:v>F-D008-202511-1162</x:v>
      </x:c>
      <x:c r="E183" t="str">
        <x:v>L2511-013-0182</x:v>
      </x:c>
      <x:c r="F183" t="str">
        <x:v>D008</x:v>
      </x:c>
      <x:c r="G183" s="32" t="str">
        <x:v>Mayorista MedicPlus</x:v>
      </x:c>
      <x:c r="H183" t="str">
        <x:v>MED013</x:v>
      </x:c>
      <x:c r="I183" s="32" t="str">
        <x:v>Probióticos</x:v>
      </x:c>
      <x:c r="J183" s="32" t="str">
        <x:v>Gastrointestinales</x:v>
      </x:c>
      <x:c r="K183" s="32" t="str">
        <x:v>Laboratorios Bagó</x:v>
      </x:c>
      <x:c r="L183" s="32" t="str">
        <x:v>Caja x 10 sobres</x:v>
      </x:c>
      <x:c r="M183" s="28" t="n">
        <x:v>10</x:v>
      </x:c>
      <x:c r="N183" s="28" t="n">
        <x:v>10</x:v>
      </x:c>
      <x:c r="O183" s="28" t="n">
        <x:f>M183*N183</x:f>
        <x:v>100</x:v>
      </x:c>
      <x:c r="P183" s="24" t="n">
        <x:v>5.59</x:v>
      </x:c>
      <x:c r="Q183" s="26" t="n">
        <x:v>0.12328124357018773</x:v>
      </x:c>
      <x:c r="R183" s="24" t="n">
        <x:f>O183*P183*Q183</x:f>
        <x:v>68.91421515573494</x:v>
      </x:c>
      <x:c r="S183" s="24" t="n">
        <x:f>P183*(1-Q183)</x:f>
        <x:v>4.900857848442651</x:v>
      </x:c>
      <x:c r="T183" s="24" t="n">
        <x:f>O183*S183</x:f>
        <x:v>490.08578484426505</x:v>
      </x:c>
      <x:c r="U183" t="str">
        <x:v>NORTE</x:v>
      </x:c>
      <x:c r="V183" t="str">
        <x:v>Farmacia Norte</x:v>
      </x:c>
      <x:c r="W183" t="str">
        <x:v>Zona Norte</x:v>
      </x:c>
      <x:c r="X183" t="str">
        <x:v>Quito</x:v>
      </x:c>
      <x:c r="Y183" s="32" t="str">
        <x:v>Av. 10 de Agosto N45-20</x:v>
      </x:c>
      <x:c r="Z183" s="22" t="n">
        <x:v>45966</x:v>
      </x:c>
      <x:c r="AA183" t="str">
        <x:v>Recibido</x:v>
      </x:c>
      <x:c r="AB183" t="str">
        <x:v>30 días crédito</x:v>
      </x:c>
      <x:c r="AC183" s="32" t="str"/>
    </x:row>
    <x:row r="184">
      <x:c r="A184" t="n">
        <x:v>183</x:v>
      </x:c>
      <x:c r="B184" s="22" t="n">
        <x:v>46184</x:v>
      </x:c>
      <x:c r="C184" t="str">
        <x:v>OC-2026-0183</x:v>
      </x:c>
      <x:c r="D184" t="str">
        <x:v>F-D008-202606-3575</x:v>
      </x:c>
      <x:c r="E184" t="str">
        <x:v>L2606-001-0183</x:v>
      </x:c>
      <x:c r="F184" t="str">
        <x:v>D008</x:v>
      </x:c>
      <x:c r="G184" s="32" t="str">
        <x:v>Mayorista MedicPlus</x:v>
      </x:c>
      <x:c r="H184" t="str">
        <x:v>MED001</x:v>
      </x:c>
      <x:c r="I184" s="32" t="str">
        <x:v>Paracetamol 500 mg</x:v>
      </x:c>
      <x:c r="J184" s="32" t="str">
        <x:v>Analgésicos</x:v>
      </x:c>
      <x:c r="K184" s="32" t="str">
        <x:v>Genfar</x:v>
      </x:c>
      <x:c r="L184" s="32" t="str">
        <x:v>Caja x 20 tabletas</x:v>
      </x:c>
      <x:c r="M184" s="28" t="n">
        <x:v>5</x:v>
      </x:c>
      <x:c r="N184" s="28" t="n">
        <x:v>50</x:v>
      </x:c>
      <x:c r="O184" s="28" t="n">
        <x:f>M184*N184</x:f>
        <x:v>250</x:v>
      </x:c>
      <x:c r="P184" s="24" t="n">
        <x:v>0.81</x:v>
      </x:c>
      <x:c r="Q184" s="26" t="n">
        <x:v>0.09374776148507617</x:v>
      </x:c>
      <x:c r="R184" s="24" t="n">
        <x:f>O184*P184*Q184</x:f>
        <x:v>18.983921700727926</x:v>
      </x:c>
      <x:c r="S184" s="24" t="n">
        <x:f>P184*(1-Q184)</x:f>
        <x:v>0.7340643131970884</x:v>
      </x:c>
      <x:c r="T184" s="24" t="n">
        <x:f>O184*S184</x:f>
        <x:v>183.5160782992721</x:v>
      </x:c>
      <x:c r="U184" t="str">
        <x:v>CENTRO</x:v>
      </x:c>
      <x:c r="V184" t="str">
        <x:v>Farmacia Centro Histórico</x:v>
      </x:c>
      <x:c r="W184" t="str">
        <x:v>Zona Centro</x:v>
      </x:c>
      <x:c r="X184" t="str">
        <x:v>Quito</x:v>
      </x:c>
      <x:c r="Y184" s="32" t="str">
        <x:v>Guayaquil y Chile</x:v>
      </x:c>
      <x:c r="Z184" s="22" t="n">
        <x:v>46186</x:v>
      </x:c>
      <x:c r="AA184" t="str">
        <x:v>Recibido</x:v>
      </x:c>
      <x:c r="AB184" t="str">
        <x:v>30 días crédito</x:v>
      </x:c>
      <x:c r="AC184" s="32" t="str">
        <x:v>Entrega coordinada fuera de horario regular</x:v>
      </x:c>
    </x:row>
    <x:row r="185">
      <x:c r="A185" t="n">
        <x:v>184</x:v>
      </x:c>
      <x:c r="B185" s="22" t="n">
        <x:v>45839</x:v>
      </x:c>
      <x:c r="C185" t="str">
        <x:v>OC-2025-0184</x:v>
      </x:c>
      <x:c r="D185" t="str">
        <x:v>F-D008-202507-1666</x:v>
      </x:c>
      <x:c r="E185" t="str">
        <x:v>L2507-007-0184</x:v>
      </x:c>
      <x:c r="F185" t="str">
        <x:v>D008</x:v>
      </x:c>
      <x:c r="G185" s="32" t="str">
        <x:v>Mayorista MedicPlus</x:v>
      </x:c>
      <x:c r="H185" t="str">
        <x:v>MED007</x:v>
      </x:c>
      <x:c r="I185" s="32" t="str">
        <x:v>Omeprazol 20 mg</x:v>
      </x:c>
      <x:c r="J185" s="32" t="str">
        <x:v>Gastrointestinales</x:v>
      </x:c>
      <x:c r="K185" s="32" t="str">
        <x:v>La Santé</x:v>
      </x:c>
      <x:c r="L185" s="32" t="str">
        <x:v>Caja x 30 cápsulas</x:v>
      </x:c>
      <x:c r="M185" s="28" t="n">
        <x:v>10</x:v>
      </x:c>
      <x:c r="N185" s="28" t="n">
        <x:v>24</x:v>
      </x:c>
      <x:c r="O185" s="28" t="n">
        <x:f>M185*N185</x:f>
        <x:v>240</x:v>
      </x:c>
      <x:c r="P185" s="24" t="n">
        <x:v>2.89</x:v>
      </x:c>
      <x:c r="Q185" s="26" t="n">
        <x:v>0.12237974776258105</x:v>
      </x:c>
      <x:c r="R185" s="24" t="n">
        <x:f>O185*P185*Q185</x:f>
        <x:v>84.88259304812622</x:v>
      </x:c>
      <x:c r="S185" s="24" t="n">
        <x:f>P185*(1-Q185)</x:f>
        <x:v>2.536322528966141</x:v>
      </x:c>
      <x:c r="T185" s="24" t="n">
        <x:f>O185*S185</x:f>
        <x:v>608.7174069518738</x:v>
      </x:c>
      <x:c r="U185" t="str">
        <x:v>CENTRO</x:v>
      </x:c>
      <x:c r="V185" t="str">
        <x:v>Farmacia Centro Histórico</x:v>
      </x:c>
      <x:c r="W185" t="str">
        <x:v>Zona Centro</x:v>
      </x:c>
      <x:c r="X185" t="str">
        <x:v>Quito</x:v>
      </x:c>
      <x:c r="Y185" s="32" t="str">
        <x:v>Guayaquil y Chile</x:v>
      </x:c>
      <x:c r="Z185" s="22" t="n">
        <x:v>45844</x:v>
      </x:c>
      <x:c r="AA185" t="str">
        <x:v>Recibido</x:v>
      </x:c>
      <x:c r="AB185" t="str">
        <x:v>30 días crédito</x:v>
      </x:c>
      <x:c r="AC185" s="32" t="str">
        <x:v>Entrega coordinada fuera de horario regular</x:v>
      </x:c>
    </x:row>
    <x:row r="186">
      <x:c r="A186" t="n">
        <x:v>185</x:v>
      </x:c>
      <x:c r="B186" s="22" t="n">
        <x:v>46110</x:v>
      </x:c>
      <x:c r="C186" t="str">
        <x:v>OC-2026-0185</x:v>
      </x:c>
      <x:c r="D186" t="str">
        <x:v>F-D006-202603-2175</x:v>
      </x:c>
      <x:c r="E186" t="str">
        <x:v>L2603-013-0185</x:v>
      </x:c>
      <x:c r="F186" t="str">
        <x:v>D006</x:v>
      </x:c>
      <x:c r="G186" s="32" t="str">
        <x:v>Insumos Médicos del Pacífico</x:v>
      </x:c>
      <x:c r="H186" t="str">
        <x:v>MED013</x:v>
      </x:c>
      <x:c r="I186" s="32" t="str">
        <x:v>Probióticos</x:v>
      </x:c>
      <x:c r="J186" s="32" t="str">
        <x:v>Gastrointestinales</x:v>
      </x:c>
      <x:c r="K186" s="32" t="str">
        <x:v>Laboratorios Bagó</x:v>
      </x:c>
      <x:c r="L186" s="32" t="str">
        <x:v>Caja x 10 sobres</x:v>
      </x:c>
      <x:c r="M186" s="28" t="n">
        <x:v>48</x:v>
      </x:c>
      <x:c r="N186" s="28" t="n">
        <x:v>10</x:v>
      </x:c>
      <x:c r="O186" s="28" t="n">
        <x:f>M186*N186</x:f>
        <x:v>480</x:v>
      </x:c>
      <x:c r="P186" s="24" t="n">
        <x:v>5.26</x:v>
      </x:c>
      <x:c r="Q186" s="26" t="n">
        <x:v>0.11870849938509523</x:v>
      </x:c>
      <x:c r="R186" s="24" t="n">
        <x:f>O186*P186*Q186</x:f>
        <x:v>299.7152192474884</x:v>
      </x:c>
      <x:c r="S186" s="24" t="n">
        <x:f>P186*(1-Q186)</x:f>
        <x:v>4.635593293234399</x:v>
      </x:c>
      <x:c r="T186" s="24" t="n">
        <x:f>O186*S186</x:f>
        <x:v>2225.0847807525115</x:v>
      </x:c>
      <x:c r="U186" t="str">
        <x:v>SUR</x:v>
      </x:c>
      <x:c r="V186" t="str">
        <x:v>Farmacia del Sur</x:v>
      </x:c>
      <x:c r="W186" t="str">
        <x:v>Zona Sur</x:v>
      </x:c>
      <x:c r="X186" t="str">
        <x:v>Quito</x:v>
      </x:c>
      <x:c r="Y186" s="32" t="str">
        <x:v>Av. Maldonado S25-10</x:v>
      </x:c>
      <x:c r="Z186" s="22" t="n">
        <x:v>46112</x:v>
      </x:c>
      <x:c r="AA186" t="str">
        <x:v>Recibido</x:v>
      </x:c>
      <x:c r="AB186" t="str">
        <x:v>60 días crédito</x:v>
      </x:c>
      <x:c r="AC186" s="32" t="str"/>
    </x:row>
    <x:row r="187">
      <x:c r="A187" t="n">
        <x:v>186</x:v>
      </x:c>
      <x:c r="B187" s="22" t="n">
        <x:v>46149</x:v>
      </x:c>
      <x:c r="C187" t="str">
        <x:v>OC-2026-0186</x:v>
      </x:c>
      <x:c r="D187" t="str">
        <x:v>F-D008-202605-5673</x:v>
      </x:c>
      <x:c r="E187" t="str">
        <x:v>L2605-009-0186</x:v>
      </x:c>
      <x:c r="F187" t="str">
        <x:v>D008</x:v>
      </x:c>
      <x:c r="G187" s="32" t="str">
        <x:v>Mayorista MedicPlus</x:v>
      </x:c>
      <x:c r="H187" t="str">
        <x:v>MED009</x:v>
      </x:c>
      <x:c r="I187" s="32" t="str">
        <x:v>Losartán 50 mg</x:v>
      </x:c>
      <x:c r="J187" s="32" t="str">
        <x:v>Cardiovasculares</x:v>
      </x:c>
      <x:c r="K187" s="32" t="str">
        <x:v>Laboratorios Bagó</x:v>
      </x:c>
      <x:c r="L187" s="32" t="str">
        <x:v>Caja x 30 tabletas</x:v>
      </x:c>
      <x:c r="M187" s="28" t="n">
        <x:v>10</x:v>
      </x:c>
      <x:c r="N187" s="28" t="n">
        <x:v>30</x:v>
      </x:c>
      <x:c r="O187" s="28" t="n">
        <x:f>M187*N187</x:f>
        <x:v>300</x:v>
      </x:c>
      <x:c r="P187" s="24" t="n">
        <x:v>3</x:v>
      </x:c>
      <x:c r="Q187" s="26" t="n">
        <x:v>0.06780353160006235</x:v>
      </x:c>
      <x:c r="R187" s="24" t="n">
        <x:f>O187*P187*Q187</x:f>
        <x:v>61.023178440056114</x:v>
      </x:c>
      <x:c r="S187" s="24" t="n">
        <x:f>P187*(1-Q187)</x:f>
        <x:v>2.796589405199813</x:v>
      </x:c>
      <x:c r="T187" s="24" t="n">
        <x:f>O187*S187</x:f>
        <x:v>838.9768215599438</x:v>
      </x:c>
      <x:c r="U187" t="str">
        <x:v>SUR</x:v>
      </x:c>
      <x:c r="V187" t="str">
        <x:v>Farmacia del Sur</x:v>
      </x:c>
      <x:c r="W187" t="str">
        <x:v>Zona Sur</x:v>
      </x:c>
      <x:c r="X187" t="str">
        <x:v>Quito</x:v>
      </x:c>
      <x:c r="Y187" s="32" t="str">
        <x:v>Av. Maldonado S25-10</x:v>
      </x:c>
      <x:c r="Z187" s="22" t="n">
        <x:v>46152</x:v>
      </x:c>
      <x:c r="AA187" t="str">
        <x:v>Recibido</x:v>
      </x:c>
      <x:c r="AB187" t="str">
        <x:v>30 días crédito</x:v>
      </x:c>
      <x:c r="AC187" s="32" t="str">
        <x:v>Entrega coordinada fuera de horario regular</x:v>
      </x:c>
    </x:row>
    <x:row r="188">
      <x:c r="A188" t="n">
        <x:v>187</x:v>
      </x:c>
      <x:c r="B188" s="22" t="n">
        <x:v>45808</x:v>
      </x:c>
      <x:c r="C188" t="str">
        <x:v>OC-2025-0187</x:v>
      </x:c>
      <x:c r="D188" t="str">
        <x:v>F-D006-202505-2000</x:v>
      </x:c>
      <x:c r="E188" t="str">
        <x:v>L2505-002-0187</x:v>
      </x:c>
      <x:c r="F188" t="str">
        <x:v>D006</x:v>
      </x:c>
      <x:c r="G188" s="32" t="str">
        <x:v>Insumos Médicos del Pacífico</x:v>
      </x:c>
      <x:c r="H188" t="str">
        <x:v>MED002</x:v>
      </x:c>
      <x:c r="I188" s="32" t="str">
        <x:v>Ibuprofeno 400 mg</x:v>
      </x:c>
      <x:c r="J188" s="32" t="str">
        <x:v>Analgésicos</x:v>
      </x:c>
      <x:c r="K188" s="32" t="str">
        <x:v>La Santé</x:v>
      </x:c>
      <x:c r="L188" s="32" t="str">
        <x:v>Caja x 20 tabletas</x:v>
      </x:c>
      <x:c r="M188" s="28" t="n">
        <x:v>5</x:v>
      </x:c>
      <x:c r="N188" s="28" t="n">
        <x:v>20</x:v>
      </x:c>
      <x:c r="O188" s="28" t="n">
        <x:f>M188*N188</x:f>
        <x:v>100</x:v>
      </x:c>
      <x:c r="P188" s="24" t="n">
        <x:v>1.24</x:v>
      </x:c>
      <x:c r="Q188" s="26" t="n">
        <x:v>0.11198518046604168</x:v>
      </x:c>
      <x:c r="R188" s="24" t="n">
        <x:f>O188*P188*Q188</x:f>
        <x:v>13.886162377789168</x:v>
      </x:c>
      <x:c r="S188" s="24" t="n">
        <x:f>P188*(1-Q188)</x:f>
        <x:v>1.1011383762221083</x:v>
      </x:c>
      <x:c r="T188" s="24" t="n">
        <x:f>O188*S188</x:f>
        <x:v>110.11383762221084</x:v>
      </x:c>
      <x:c r="U188" t="str">
        <x:v>NORTE</x:v>
      </x:c>
      <x:c r="V188" t="str">
        <x:v>Farmacia Norte</x:v>
      </x:c>
      <x:c r="W188" t="str">
        <x:v>Zona Norte</x:v>
      </x:c>
      <x:c r="X188" t="str">
        <x:v>Quito</x:v>
      </x:c>
      <x:c r="Y188" s="32" t="str">
        <x:v>Av. 10 de Agosto N45-20</x:v>
      </x:c>
      <x:c r="Z188" s="22" t="n">
        <x:v>45810</x:v>
      </x:c>
      <x:c r="AA188" t="str">
        <x:v>Recibido</x:v>
      </x:c>
      <x:c r="AB188" t="str">
        <x:v>60 días crédito</x:v>
      </x:c>
      <x:c r="AC188" s="32" t="str"/>
    </x:row>
    <x:row r="189">
      <x:c r="A189" t="n">
        <x:v>188</x:v>
      </x:c>
      <x:c r="B189" s="22" t="n">
        <x:v>45804</x:v>
      </x:c>
      <x:c r="C189" t="str">
        <x:v>OC-2025-0188</x:v>
      </x:c>
      <x:c r="D189" t="str">
        <x:v>F-D006-202505-3397</x:v>
      </x:c>
      <x:c r="E189" t="str">
        <x:v>L2505-002-0188</x:v>
      </x:c>
      <x:c r="F189" t="str">
        <x:v>D006</x:v>
      </x:c>
      <x:c r="G189" s="32" t="str">
        <x:v>Insumos Médicos del Pacífico</x:v>
      </x:c>
      <x:c r="H189" t="str">
        <x:v>MED002</x:v>
      </x:c>
      <x:c r="I189" s="32" t="str">
        <x:v>Ibuprofeno 400 mg</x:v>
      </x:c>
      <x:c r="J189" s="32" t="str">
        <x:v>Analgésicos</x:v>
      </x:c>
      <x:c r="K189" s="32" t="str">
        <x:v>La Santé</x:v>
      </x:c>
      <x:c r="L189" s="32" t="str">
        <x:v>Caja x 20 tabletas</x:v>
      </x:c>
      <x:c r="M189" s="28" t="n">
        <x:v>30</x:v>
      </x:c>
      <x:c r="N189" s="28" t="n">
        <x:v>20</x:v>
      </x:c>
      <x:c r="O189" s="28" t="n">
        <x:f>M189*N189</x:f>
        <x:v>600</x:v>
      </x:c>
      <x:c r="P189" s="24" t="n">
        <x:v>1.09</x:v>
      </x:c>
      <x:c r="Q189" s="26" t="n">
        <x:v>0.15716985599662897</x:v>
      </x:c>
      <x:c r="R189" s="24" t="n">
        <x:f>O189*P189*Q189</x:f>
        <x:v>102.78908582179535</x:v>
      </x:c>
      <x:c r="S189" s="24" t="n">
        <x:f>P189*(1-Q189)</x:f>
        <x:v>0.9186848569636744</x:v>
      </x:c>
      <x:c r="T189" s="24" t="n">
        <x:f>O189*S189</x:f>
        <x:v>551.2109141782047</x:v>
      </x:c>
      <x:c r="U189" t="str">
        <x:v>NORTE</x:v>
      </x:c>
      <x:c r="V189" t="str">
        <x:v>Farmacia Norte</x:v>
      </x:c>
      <x:c r="W189" t="str">
        <x:v>Zona Norte</x:v>
      </x:c>
      <x:c r="X189" t="str">
        <x:v>Quito</x:v>
      </x:c>
      <x:c r="Y189" s="32" t="str">
        <x:v>Av. 10 de Agosto N45-20</x:v>
      </x:c>
      <x:c r="Z189" s="22" t="n">
        <x:v>45809</x:v>
      </x:c>
      <x:c r="AA189" t="str">
        <x:v>Recibido</x:v>
      </x:c>
      <x:c r="AB189" t="str">
        <x:v>60 días crédito</x:v>
      </x:c>
      <x:c r="AC189" s="32" t="str">
        <x:v>Descuento por volumen</x:v>
      </x:c>
    </x:row>
    <x:row r="190">
      <x:c r="A190" t="n">
        <x:v>189</x:v>
      </x:c>
      <x:c r="B190" s="22" t="n">
        <x:v>45896</x:v>
      </x:c>
      <x:c r="C190" t="str">
        <x:v>OC-2025-0189</x:v>
      </x:c>
      <x:c r="D190" t="str">
        <x:v>F-D002-202508-5460</x:v>
      </x:c>
      <x:c r="E190" t="str">
        <x:v>L2508-004-0189</x:v>
      </x:c>
      <x:c r="F190" t="str">
        <x:v>D002</x:v>
      </x:c>
      <x:c r="G190" s="32" t="str">
        <x:v>MedSupply Ecuador Cía. Ltda.</x:v>
      </x:c>
      <x:c r="H190" t="str">
        <x:v>MED004</x:v>
      </x:c>
      <x:c r="I190" s="32" t="str">
        <x:v>Azitromicina 500 mg</x:v>
      </x:c>
      <x:c r="J190" s="32" t="str">
        <x:v>Antibióticos</x:v>
      </x:c>
      <x:c r="K190" s="32" t="str">
        <x:v>Pfizer</x:v>
      </x:c>
      <x:c r="L190" s="32" t="str">
        <x:v>Caja x 3 tabletas</x:v>
      </x:c>
      <x:c r="M190" s="28" t="n">
        <x:v>20</x:v>
      </x:c>
      <x:c r="N190" s="28" t="n">
        <x:v>10</x:v>
      </x:c>
      <x:c r="O190" s="28" t="n">
        <x:f>M190*N190</x:f>
        <x:v>200</x:v>
      </x:c>
      <x:c r="P190" s="24" t="n">
        <x:v>4.84</x:v>
      </x:c>
      <x:c r="Q190" s="26" t="n">
        <x:v>0.07228673653236545</x:v>
      </x:c>
      <x:c r="R190" s="24" t="n">
        <x:f>O190*P190*Q190</x:f>
        <x:v>69.97356096332976</x:v>
      </x:c>
      <x:c r="S190" s="24" t="n">
        <x:f>P190*(1-Q190)</x:f>
        <x:v>4.490132195183351</x:v>
      </x:c>
      <x:c r="T190" s="24" t="n">
        <x:f>O190*S190</x:f>
        <x:v>898.0264390366702</x:v>
      </x:c>
      <x:c r="U190" t="str">
        <x:v>SUR</x:v>
      </x:c>
      <x:c r="V190" t="str">
        <x:v>Farmacia del Sur</x:v>
      </x:c>
      <x:c r="W190" t="str">
        <x:v>Zona Sur</x:v>
      </x:c>
      <x:c r="X190" t="str">
        <x:v>Quito</x:v>
      </x:c>
      <x:c r="Y190" s="32" t="str">
        <x:v>Av. Maldonado S25-10</x:v>
      </x:c>
      <x:c r="Z190" s="22" t="n">
        <x:v>45899</x:v>
      </x:c>
      <x:c r="AA190" t="str">
        <x:v>Recibido</x:v>
      </x:c>
      <x:c r="AB190" t="str">
        <x:v>15 días crédito</x:v>
      </x:c>
      <x:c r="AC190" s="32" t="str">
        <x:v>Entrega coordinada fuera de horario regular</x:v>
      </x:c>
    </x:row>
    <x:row r="191">
      <x:c r="A191" t="n">
        <x:v>190</x:v>
      </x:c>
      <x:c r="B191" s="22" t="n">
        <x:v>46133</x:v>
      </x:c>
      <x:c r="C191" t="str">
        <x:v>OC-2026-0190</x:v>
      </x:c>
      <x:c r="D191" t="str">
        <x:v>F-D003-202604-7226</x:v>
      </x:c>
      <x:c r="E191" t="str">
        <x:v>L2604-005-0190</x:v>
      </x:c>
      <x:c r="F191" t="str">
        <x:v>D003</x:v>
      </x:c>
      <x:c r="G191" s="32" t="str">
        <x:v>FarmaLogística Sierra</x:v>
      </x:c>
      <x:c r="H191" t="str">
        <x:v>MED005</x:v>
      </x:c>
      <x:c r="I191" s="32" t="str">
        <x:v>Loratadina 10 mg</x:v>
      </x:c>
      <x:c r="J191" s="32" t="str">
        <x:v>Antigripales</x:v>
      </x:c>
      <x:c r="K191" s="32" t="str">
        <x:v>Genfar</x:v>
      </x:c>
      <x:c r="L191" s="32" t="str">
        <x:v>Caja x 10 tabletas</x:v>
      </x:c>
      <x:c r="M191" s="28" t="n">
        <x:v>8</x:v>
      </x:c>
      <x:c r="N191" s="28" t="n">
        <x:v>30</x:v>
      </x:c>
      <x:c r="O191" s="28" t="n">
        <x:f>M191*N191</x:f>
        <x:v>240</x:v>
      </x:c>
      <x:c r="P191" s="24" t="n">
        <x:v>1.13</x:v>
      </x:c>
      <x:c r="Q191" s="26" t="n">
        <x:v>0.016524185755912548</x:v>
      </x:c>
      <x:c r="R191" s="24" t="n">
        <x:f>O191*P191*Q191</x:f>
        <x:v>4.481359177003483</x:v>
      </x:c>
      <x:c r="S191" s="24" t="n">
        <x:f>P191*(1-Q191)</x:f>
        <x:v>1.1113276700958188</x:v>
      </x:c>
      <x:c r="T191" s="24" t="n">
        <x:f>O191*S191</x:f>
        <x:v>266.7186408229965</x:v>
      </x:c>
      <x:c r="U191" t="str">
        <x:v>NORTE</x:v>
      </x:c>
      <x:c r="V191" t="str">
        <x:v>Farmacia Norte</x:v>
      </x:c>
      <x:c r="W191" t="str">
        <x:v>Zona Norte</x:v>
      </x:c>
      <x:c r="X191" t="str">
        <x:v>Quito</x:v>
      </x:c>
      <x:c r="Y191" s="32" t="str">
        <x:v>Av. 10 de Agosto N45-20</x:v>
      </x:c>
      <x:c r="Z191" s="22" t="n">
        <x:v>46135</x:v>
      </x:c>
      <x:c r="AA191" t="str">
        <x:v>Recibido</x:v>
      </x:c>
      <x:c r="AB191" t="str">
        <x:v>Contado contra entrega</x:v>
      </x:c>
      <x:c r="AC191" s="32" t="str"/>
    </x:row>
    <x:row r="192">
      <x:c r="A192" t="n">
        <x:v>191</x:v>
      </x:c>
      <x:c r="B192" s="22" t="n">
        <x:v>46270</x:v>
      </x:c>
      <x:c r="C192" t="str">
        <x:v>OC-2026-0191</x:v>
      </x:c>
      <x:c r="D192" t="str">
        <x:v>F-D001-202609-6313</x:v>
      </x:c>
      <x:c r="E192" t="str">
        <x:v>L2609-007-0191</x:v>
      </x:c>
      <x:c r="F192" t="str">
        <x:v>D001</x:v>
      </x:c>
      <x:c r="G192" s="32" t="str">
        <x:v>DistriFarma Andina S.A.</x:v>
      </x:c>
      <x:c r="H192" t="str">
        <x:v>MED007</x:v>
      </x:c>
      <x:c r="I192" s="32" t="str">
        <x:v>Omeprazol 20 mg</x:v>
      </x:c>
      <x:c r="J192" s="32" t="str">
        <x:v>Gastrointestinales</x:v>
      </x:c>
      <x:c r="K192" s="32" t="str">
        <x:v>La Santé</x:v>
      </x:c>
      <x:c r="L192" s="32" t="str">
        <x:v>Caja x 30 cápsulas</x:v>
      </x:c>
      <x:c r="M192" s="28" t="n">
        <x:v>6</x:v>
      </x:c>
      <x:c r="N192" s="28" t="n">
        <x:v>60</x:v>
      </x:c>
      <x:c r="O192" s="28" t="n">
        <x:f>M192*N192</x:f>
        <x:v>360</x:v>
      </x:c>
      <x:c r="P192" s="24" t="n">
        <x:v>2.89</x:v>
      </x:c>
      <x:c r="Q192" s="26" t="n">
        <x:v>0.07671210919637443</x:v>
      </x:c>
      <x:c r="R192" s="24" t="n">
        <x:f>O192*P192*Q192</x:f>
        <x:v>79.81127840790796</x:v>
      </x:c>
      <x:c r="S192" s="24" t="n">
        <x:f>P192*(1-Q192)</x:f>
        <x:v>2.668302004422478</x:v>
      </x:c>
      <x:c r="T192" s="24" t="n">
        <x:f>O192*S192</x:f>
        <x:v>960.5887215920922</x:v>
      </x:c>
      <x:c r="U192" t="str">
        <x:v>SUR</x:v>
      </x:c>
      <x:c r="V192" t="str">
        <x:v>Farmacia del Sur</x:v>
      </x:c>
      <x:c r="W192" t="str">
        <x:v>Zona Sur</x:v>
      </x:c>
      <x:c r="X192" t="str">
        <x:v>Quito</x:v>
      </x:c>
      <x:c r="Y192" s="32" t="str">
        <x:v>Av. Maldonado S25-10</x:v>
      </x:c>
      <x:c r="Z192" s="22" t="n">
        <x:v>46274</x:v>
      </x:c>
      <x:c r="AA192" t="str">
        <x:v>Recibido</x:v>
      </x:c>
      <x:c r="AB192" t="str">
        <x:v>30 días crédito</x:v>
      </x:c>
      <x:c r="AC192" s="32" t="str"/>
    </x:row>
    <x:row r="193">
      <x:c r="A193" t="n">
        <x:v>192</x:v>
      </x:c>
      <x:c r="B193" s="22" t="n">
        <x:v>45740</x:v>
      </x:c>
      <x:c r="C193" t="str">
        <x:v>OC-2025-0192</x:v>
      </x:c>
      <x:c r="D193" t="str">
        <x:v>F-D008-202503-5108</x:v>
      </x:c>
      <x:c r="E193" t="str">
        <x:v>L2503-009-0192</x:v>
      </x:c>
      <x:c r="F193" t="str">
        <x:v>D008</x:v>
      </x:c>
      <x:c r="G193" s="32" t="str">
        <x:v>Mayorista MedicPlus</x:v>
      </x:c>
      <x:c r="H193" t="str">
        <x:v>MED009</x:v>
      </x:c>
      <x:c r="I193" s="32" t="str">
        <x:v>Losartán 50 mg</x:v>
      </x:c>
      <x:c r="J193" s="32" t="str">
        <x:v>Cardiovasculares</x:v>
      </x:c>
      <x:c r="K193" s="32" t="str">
        <x:v>Laboratorios Bagó</x:v>
      </x:c>
      <x:c r="L193" s="32" t="str">
        <x:v>Caja x 30 tabletas</x:v>
      </x:c>
      <x:c r="M193" s="28" t="n">
        <x:v>3</x:v>
      </x:c>
      <x:c r="N193" s="28" t="n">
        <x:v>50</x:v>
      </x:c>
      <x:c r="O193" s="28" t="n">
        <x:f>M193*N193</x:f>
        <x:v>150</x:v>
      </x:c>
      <x:c r="P193" s="24" t="n">
        <x:v>3.06</x:v>
      </x:c>
      <x:c r="Q193" s="26" t="n">
        <x:v>0.10687334776349922</x:v>
      </x:c>
      <x:c r="R193" s="24" t="n">
        <x:f>O193*P193*Q193</x:f>
        <x:v>49.05486662344614</x:v>
      </x:c>
      <x:c r="S193" s="24" t="n">
        <x:f>P193*(1-Q193)</x:f>
        <x:v>2.7329675558436923</x:v>
      </x:c>
      <x:c r="T193" s="24" t="n">
        <x:f>O193*S193</x:f>
        <x:v>409.9451333765538</x:v>
      </x:c>
      <x:c r="U193" t="str">
        <x:v>VALLE</x:v>
      </x:c>
      <x:c r="V193" t="str">
        <x:v>Farmacia Valle de los Chillos</x:v>
      </x:c>
      <x:c r="W193" t="str">
        <x:v>Zona Valle</x:v>
      </x:c>
      <x:c r="X193" t="str">
        <x:v>Sangolquí</x:v>
      </x:c>
      <x:c r="Y193" s="32" t="str">
        <x:v>Av. Calderón 101</x:v>
      </x:c>
      <x:c r="Z193" s="22" t="n">
        <x:v>45741</x:v>
      </x:c>
      <x:c r="AA193" t="str">
        <x:v>Recibido</x:v>
      </x:c>
      <x:c r="AB193" t="str">
        <x:v>30 días crédito</x:v>
      </x:c>
      <x:c r="AC193" s="32" t="str"/>
    </x:row>
    <x:row r="194">
      <x:c r="A194" t="n">
        <x:v>193</x:v>
      </x:c>
      <x:c r="B194" s="22" t="n">
        <x:v>46083</x:v>
      </x:c>
      <x:c r="C194" t="str">
        <x:v>OC-2026-0193</x:v>
      </x:c>
      <x:c r="D194" t="str">
        <x:v>F-D005-202603-2675</x:v>
      </x:c>
      <x:c r="E194" t="str">
        <x:v>L2603-005-0193</x:v>
      </x:c>
      <x:c r="F194" t="str">
        <x:v>D005</x:v>
      </x:c>
      <x:c r="G194" s="32" t="str">
        <x:v>PharmaExpress Quito</x:v>
      </x:c>
      <x:c r="H194" t="str">
        <x:v>MED005</x:v>
      </x:c>
      <x:c r="I194" s="32" t="str">
        <x:v>Loratadina 10 mg</x:v>
      </x:c>
      <x:c r="J194" s="32" t="str">
        <x:v>Antigripales</x:v>
      </x:c>
      <x:c r="K194" s="32" t="str">
        <x:v>Genfar</x:v>
      </x:c>
      <x:c r="L194" s="32" t="str">
        <x:v>Caja x 10 tabletas</x:v>
      </x:c>
      <x:c r="M194" s="28" t="n">
        <x:v>30</x:v>
      </x:c>
      <x:c r="N194" s="28" t="n">
        <x:v>20</x:v>
      </x:c>
      <x:c r="O194" s="28" t="n">
        <x:f>M194*N194</x:f>
        <x:v>600</x:v>
      </x:c>
      <x:c r="P194" s="24" t="n">
        <x:v>1</x:v>
      </x:c>
      <x:c r="Q194" s="26" t="n">
        <x:v>0.11404596759721244</x:v>
      </x:c>
      <x:c r="R194" s="24" t="n">
        <x:f>O194*P194*Q194</x:f>
        <x:v>68.42758055832746</x:v>
      </x:c>
      <x:c r="S194" s="24" t="n">
        <x:f>P194*(1-Q194)</x:f>
        <x:v>0.8859540324027876</x:v>
      </x:c>
      <x:c r="T194" s="24" t="n">
        <x:f>O194*S194</x:f>
        <x:v>531.5724194416725</x:v>
      </x:c>
      <x:c r="U194" t="str">
        <x:v>SUR</x:v>
      </x:c>
      <x:c r="V194" t="str">
        <x:v>Farmacia del Sur</x:v>
      </x:c>
      <x:c r="W194" t="str">
        <x:v>Zona Sur</x:v>
      </x:c>
      <x:c r="X194" t="str">
        <x:v>Quito</x:v>
      </x:c>
      <x:c r="Y194" s="32" t="str">
        <x:v>Av. Maldonado S25-10</x:v>
      </x:c>
      <x:c r="Z194" s="22" t="n">
        <x:v>46085</x:v>
      </x:c>
      <x:c r="AA194" t="str">
        <x:v>Recibido</x:v>
      </x:c>
      <x:c r="AB194" t="str">
        <x:v>30 días crédito</x:v>
      </x:c>
      <x:c r="AC194" s="32" t="str"/>
    </x:row>
    <x:row r="195">
      <x:c r="A195" t="n">
        <x:v>194</x:v>
      </x:c>
      <x:c r="B195" s="22" t="n">
        <x:v>45827</x:v>
      </x:c>
      <x:c r="C195" t="str">
        <x:v>OC-2025-0194</x:v>
      </x:c>
      <x:c r="D195" t="str">
        <x:v>F-D006-202506-7161</x:v>
      </x:c>
      <x:c r="E195" t="str">
        <x:v>L2506-002-0194</x:v>
      </x:c>
      <x:c r="F195" t="str">
        <x:v>D006</x:v>
      </x:c>
      <x:c r="G195" s="32" t="str">
        <x:v>Insumos Médicos del Pacífico</x:v>
      </x:c>
      <x:c r="H195" t="str">
        <x:v>MED002</x:v>
      </x:c>
      <x:c r="I195" s="32" t="str">
        <x:v>Ibuprofeno 400 mg</x:v>
      </x:c>
      <x:c r="J195" s="32" t="str">
        <x:v>Analgésicos</x:v>
      </x:c>
      <x:c r="K195" s="32" t="str">
        <x:v>La Santé</x:v>
      </x:c>
      <x:c r="L195" s="32" t="str">
        <x:v>Caja x 20 tabletas</x:v>
      </x:c>
      <x:c r="M195" s="28" t="n">
        <x:v>4</x:v>
      </x:c>
      <x:c r="N195" s="28" t="n">
        <x:v>50</x:v>
      </x:c>
      <x:c r="O195" s="28" t="n">
        <x:f>M195*N195</x:f>
        <x:v>200</x:v>
      </x:c>
      <x:c r="P195" s="24" t="n">
        <x:v>1.17</x:v>
      </x:c>
      <x:c r="Q195" s="26" t="n">
        <x:v>0.1469589456512844</x:v>
      </x:c>
      <x:c r="R195" s="24" t="n">
        <x:f>O195*P195*Q195</x:f>
        <x:v>34.38839328240055</x:v>
      </x:c>
      <x:c r="S195" s="24" t="n">
        <x:f>P195*(1-Q195)</x:f>
        <x:v>0.9980580335879972</x:v>
      </x:c>
      <x:c r="T195" s="24" t="n">
        <x:f>O195*S195</x:f>
        <x:v>199.61160671759944</x:v>
      </x:c>
      <x:c r="U195" t="str">
        <x:v>SUR</x:v>
      </x:c>
      <x:c r="V195" t="str">
        <x:v>Farmacia del Sur</x:v>
      </x:c>
      <x:c r="W195" t="str">
        <x:v>Zona Sur</x:v>
      </x:c>
      <x:c r="X195" t="str">
        <x:v>Quito</x:v>
      </x:c>
      <x:c r="Y195" s="32" t="str">
        <x:v>Av. Maldonado S25-10</x:v>
      </x:c>
      <x:c r="Z195" s="22" t="n">
        <x:v>45832</x:v>
      </x:c>
      <x:c r="AA195" t="str">
        <x:v>Recibido</x:v>
      </x:c>
      <x:c r="AB195" t="str">
        <x:v>60 días crédito</x:v>
      </x:c>
      <x:c r="AC195" s="32" t="str">
        <x:v>Descuento por volumen</x:v>
      </x:c>
    </x:row>
    <x:row r="196">
      <x:c r="A196" t="n">
        <x:v>195</x:v>
      </x:c>
      <x:c r="B196" s="22" t="n">
        <x:v>46076</x:v>
      </x:c>
      <x:c r="C196" t="str">
        <x:v>OC-2026-0195</x:v>
      </x:c>
      <x:c r="D196" t="str">
        <x:v>F-D006-202602-3048</x:v>
      </x:c>
      <x:c r="E196" t="str">
        <x:v>L2602-007-0195</x:v>
      </x:c>
      <x:c r="F196" t="str">
        <x:v>D006</x:v>
      </x:c>
      <x:c r="G196" s="32" t="str">
        <x:v>Insumos Médicos del Pacífico</x:v>
      </x:c>
      <x:c r="H196" t="str">
        <x:v>MED007</x:v>
      </x:c>
      <x:c r="I196" s="32" t="str">
        <x:v>Omeprazol 20 mg</x:v>
      </x:c>
      <x:c r="J196" s="32" t="str">
        <x:v>Gastrointestinales</x:v>
      </x:c>
      <x:c r="K196" s="32" t="str">
        <x:v>La Santé</x:v>
      </x:c>
      <x:c r="L196" s="32" t="str">
        <x:v>Caja x 30 cápsulas</x:v>
      </x:c>
      <x:c r="M196" s="28" t="n">
        <x:v>6</x:v>
      </x:c>
      <x:c r="N196" s="28" t="n">
        <x:v>50</x:v>
      </x:c>
      <x:c r="O196" s="28" t="n">
        <x:f>M196*N196</x:f>
        <x:v>300</x:v>
      </x:c>
      <x:c r="P196" s="24" t="n">
        <x:v>3.26</x:v>
      </x:c>
      <x:c r="Q196" s="26" t="n">
        <x:v>0.13101698610829118</x:v>
      </x:c>
      <x:c r="R196" s="24" t="n">
        <x:f>O196*P196*Q196</x:f>
        <x:v>128.13461241390877</x:v>
      </x:c>
      <x:c r="S196" s="24" t="n">
        <x:f>P196*(1-Q196)</x:f>
        <x:v>2.8328846252869706</x:v>
      </x:c>
      <x:c r="T196" s="24" t="n">
        <x:f>O196*S196</x:f>
        <x:v>849.8653875860912</x:v>
      </x:c>
      <x:c r="U196" t="str">
        <x:v>NORTE</x:v>
      </x:c>
      <x:c r="V196" t="str">
        <x:v>Farmacia Norte</x:v>
      </x:c>
      <x:c r="W196" t="str">
        <x:v>Zona Norte</x:v>
      </x:c>
      <x:c r="X196" t="str">
        <x:v>Quito</x:v>
      </x:c>
      <x:c r="Y196" s="32" t="str">
        <x:v>Av. 10 de Agosto N45-20</x:v>
      </x:c>
      <x:c r="Z196" s="22" t="n">
        <x:v>46079</x:v>
      </x:c>
      <x:c r="AA196" t="str">
        <x:v>Recibido</x:v>
      </x:c>
      <x:c r="AB196" t="str">
        <x:v>60 días crédito</x:v>
      </x:c>
      <x:c r="AC196" s="32" t="str">
        <x:v>Descuento por volumen</x:v>
      </x:c>
    </x:row>
    <x:row r="197">
      <x:c r="A197" t="n">
        <x:v>196</x:v>
      </x:c>
      <x:c r="B197" s="22" t="n">
        <x:v>46089</x:v>
      </x:c>
      <x:c r="C197" t="str">
        <x:v>OC-2026-0196</x:v>
      </x:c>
      <x:c r="D197" t="str">
        <x:v>F-D001-202603-6187</x:v>
      </x:c>
      <x:c r="E197" t="str">
        <x:v>L2603-005-0196</x:v>
      </x:c>
      <x:c r="F197" t="str">
        <x:v>D001</x:v>
      </x:c>
      <x:c r="G197" s="32" t="str">
        <x:v>DistriFarma Andina S.A.</x:v>
      </x:c>
      <x:c r="H197" t="str">
        <x:v>MED005</x:v>
      </x:c>
      <x:c r="I197" s="32" t="str">
        <x:v>Loratadina 10 mg</x:v>
      </x:c>
      <x:c r="J197" s="32" t="str">
        <x:v>Antigripales</x:v>
      </x:c>
      <x:c r="K197" s="32" t="str">
        <x:v>Genfar</x:v>
      </x:c>
      <x:c r="L197" s="32" t="str">
        <x:v>Caja x 10 tabletas</x:v>
      </x:c>
      <x:c r="M197" s="28" t="n">
        <x:v>8</x:v>
      </x:c>
      <x:c r="N197" s="28" t="n">
        <x:v>30</x:v>
      </x:c>
      <x:c r="O197" s="28" t="n">
        <x:f>M197*N197</x:f>
        <x:v>240</x:v>
      </x:c>
      <x:c r="P197" s="24" t="n">
        <x:v>0.99</x:v>
      </x:c>
      <x:c r="Q197" s="26" t="n">
        <x:v>0.06630904460634249</x:v>
      </x:c>
      <x:c r="R197" s="24" t="n">
        <x:f>O197*P197*Q197</x:f>
        <x:v>15.755028998466974</x:v>
      </x:c>
      <x:c r="S197" s="24" t="n">
        <x:f>P197*(1-Q197)</x:f>
        <x:v>0.9243540458397209</x:v>
      </x:c>
      <x:c r="T197" s="24" t="n">
        <x:f>O197*S197</x:f>
        <x:v>221.84497100153303</x:v>
      </x:c>
      <x:c r="U197" t="str">
        <x:v>CENTRO</x:v>
      </x:c>
      <x:c r="V197" t="str">
        <x:v>Farmacia Centro Histórico</x:v>
      </x:c>
      <x:c r="W197" t="str">
        <x:v>Zona Centro</x:v>
      </x:c>
      <x:c r="X197" t="str">
        <x:v>Quito</x:v>
      </x:c>
      <x:c r="Y197" s="32" t="str">
        <x:v>Guayaquil y Chile</x:v>
      </x:c>
      <x:c r="Z197" s="22" t="n">
        <x:v>46094</x:v>
      </x:c>
      <x:c r="AA197" t="str">
        <x:v>Recibido</x:v>
      </x:c>
      <x:c r="AB197" t="str">
        <x:v>30 días crédito</x:v>
      </x:c>
      <x:c r="AC197" s="32" t="str"/>
    </x:row>
    <x:row r="198">
      <x:c r="A198" t="n">
        <x:v>197</x:v>
      </x:c>
      <x:c r="B198" s="22" t="n">
        <x:v>46236</x:v>
      </x:c>
      <x:c r="C198" t="str">
        <x:v>OC-2026-0197</x:v>
      </x:c>
      <x:c r="D198" t="str">
        <x:v>F-D004-202608-1857</x:v>
      </x:c>
      <x:c r="E198" t="str">
        <x:v>L2608-003-0197</x:v>
      </x:c>
      <x:c r="F198" t="str">
        <x:v>D004</x:v>
      </x:c>
      <x:c r="G198" s="32" t="str">
        <x:v>Distribuidora Salud Total</x:v>
      </x:c>
      <x:c r="H198" t="str">
        <x:v>MED003</x:v>
      </x:c>
      <x:c r="I198" s="32" t="str">
        <x:v>Amoxicilina 500 mg</x:v>
      </x:c>
      <x:c r="J198" s="32" t="str">
        <x:v>Antibióticos</x:v>
      </x:c>
      <x:c r="K198" s="32" t="str">
        <x:v>Acromax</x:v>
      </x:c>
      <x:c r="L198" s="32" t="str">
        <x:v>Caja x 21 cápsulas</x:v>
      </x:c>
      <x:c r="M198" s="28" t="n">
        <x:v>6</x:v>
      </x:c>
      <x:c r="N198" s="28" t="n">
        <x:v>30</x:v>
      </x:c>
      <x:c r="O198" s="28" t="n">
        <x:f>M198*N198</x:f>
        <x:v>180</x:v>
      </x:c>
      <x:c r="P198" s="24" t="n">
        <x:v>4.12</x:v>
      </x:c>
      <x:c r="Q198" s="26" t="n">
        <x:v>0.12343142582016511</x:v>
      </x:c>
      <x:c r="R198" s="24" t="n">
        <x:f>O198*P198*Q198</x:f>
        <x:v>91.53674538823445</x:v>
      </x:c>
      <x:c r="S198" s="24" t="n">
        <x:f>P198*(1-Q198)</x:f>
        <x:v>3.61146252562092</x:v>
      </x:c>
      <x:c r="T198" s="24" t="n">
        <x:f>O198*S198</x:f>
        <x:v>650.0632546117656</x:v>
      </x:c>
      <x:c r="U198" t="str">
        <x:v>CENTRO</x:v>
      </x:c>
      <x:c r="V198" t="str">
        <x:v>Farmacia Centro Histórico</x:v>
      </x:c>
      <x:c r="W198" t="str">
        <x:v>Zona Centro</x:v>
      </x:c>
      <x:c r="X198" t="str">
        <x:v>Quito</x:v>
      </x:c>
      <x:c r="Y198" s="32" t="str">
        <x:v>Guayaquil y Chile</x:v>
      </x:c>
      <x:c r="Z198" s="22" t="n">
        <x:v>46240</x:v>
      </x:c>
      <x:c r="AA198" t="str">
        <x:v>Recibido</x:v>
      </x:c>
      <x:c r="AB198" t="str">
        <x:v>45 días crédito</x:v>
      </x:c>
      <x:c r="AC198" s="32" t="str"/>
    </x:row>
    <x:row r="199">
      <x:c r="A199" t="n">
        <x:v>198</x:v>
      </x:c>
      <x:c r="B199" s="22" t="n">
        <x:v>46321</x:v>
      </x:c>
      <x:c r="C199" t="str">
        <x:v>OC-2026-0198</x:v>
      </x:c>
      <x:c r="D199" t="str">
        <x:v>F-D008-202610-6555</x:v>
      </x:c>
      <x:c r="E199" t="str">
        <x:v>L2610-005-0198</x:v>
      </x:c>
      <x:c r="F199" t="str">
        <x:v>D008</x:v>
      </x:c>
      <x:c r="G199" s="32" t="str">
        <x:v>Mayorista MedicPlus</x:v>
      </x:c>
      <x:c r="H199" t="str">
        <x:v>MED005</x:v>
      </x:c>
      <x:c r="I199" s="32" t="str">
        <x:v>Loratadina 10 mg</x:v>
      </x:c>
      <x:c r="J199" s="32" t="str">
        <x:v>Antigripales</x:v>
      </x:c>
      <x:c r="K199" s="32" t="str">
        <x:v>Genfar</x:v>
      </x:c>
      <x:c r="L199" s="32" t="str">
        <x:v>Caja x 10 tabletas</x:v>
      </x:c>
      <x:c r="M199" s="28" t="n">
        <x:v>15</x:v>
      </x:c>
      <x:c r="N199" s="28" t="n">
        <x:v>50</x:v>
      </x:c>
      <x:c r="O199" s="28" t="n">
        <x:f>M199*N199</x:f>
        <x:v>750</x:v>
      </x:c>
      <x:c r="P199" s="24" t="n">
        <x:v>0.98</x:v>
      </x:c>
      <x:c r="Q199" s="26" t="n">
        <x:v>0.10224414828343623</x:v>
      </x:c>
      <x:c r="R199" s="24" t="n">
        <x:f>O199*P199*Q199</x:f>
        <x:v>75.14944898832563</x:v>
      </x:c>
      <x:c r="S199" s="24" t="n">
        <x:f>P199*(1-Q199)</x:f>
        <x:v>0.8798007346822325</x:v>
      </x:c>
      <x:c r="T199" s="24" t="n">
        <x:f>O199*S199</x:f>
        <x:v>659.8505510116744</x:v>
      </x:c>
      <x:c r="U199" t="str">
        <x:v>CENTRO</x:v>
      </x:c>
      <x:c r="V199" t="str">
        <x:v>Farmacia Centro Histórico</x:v>
      </x:c>
      <x:c r="W199" t="str">
        <x:v>Zona Centro</x:v>
      </x:c>
      <x:c r="X199" t="str">
        <x:v>Quito</x:v>
      </x:c>
      <x:c r="Y199" s="32" t="str">
        <x:v>Guayaquil y Chile</x:v>
      </x:c>
      <x:c r="Z199" s="22" t="n">
        <x:v>46325</x:v>
      </x:c>
      <x:c r="AA199" t="str">
        <x:v>Recibido</x:v>
      </x:c>
      <x:c r="AB199" t="str">
        <x:v>30 días crédito</x:v>
      </x:c>
      <x:c r="AC199" s="32" t="str"/>
    </x:row>
    <x:row r="200">
      <x:c r="A200" t="n">
        <x:v>199</x:v>
      </x:c>
      <x:c r="B200" s="22" t="n">
        <x:v>46145</x:v>
      </x:c>
      <x:c r="C200" t="str">
        <x:v>OC-2026-0199</x:v>
      </x:c>
      <x:c r="D200" t="str">
        <x:v>F-D004-202605-5553</x:v>
      </x:c>
      <x:c r="E200" t="str">
        <x:v>L2605-003-0199</x:v>
      </x:c>
      <x:c r="F200" t="str">
        <x:v>D004</x:v>
      </x:c>
      <x:c r="G200" s="32" t="str">
        <x:v>Distribuidora Salud Total</x:v>
      </x:c>
      <x:c r="H200" t="str">
        <x:v>MED003</x:v>
      </x:c>
      <x:c r="I200" s="32" t="str">
        <x:v>Amoxicilina 500 mg</x:v>
      </x:c>
      <x:c r="J200" s="32" t="str">
        <x:v>Antibióticos</x:v>
      </x:c>
      <x:c r="K200" s="32" t="str">
        <x:v>Acromax</x:v>
      </x:c>
      <x:c r="L200" s="32" t="str">
        <x:v>Caja x 21 cápsulas</x:v>
      </x:c>
      <x:c r="M200" s="28" t="n">
        <x:v>6</x:v>
      </x:c>
      <x:c r="N200" s="28" t="n">
        <x:v>30</x:v>
      </x:c>
      <x:c r="O200" s="28" t="n">
        <x:f>M200*N200</x:f>
        <x:v>180</x:v>
      </x:c>
      <x:c r="P200" s="24" t="n">
        <x:v>4.55</x:v>
      </x:c>
      <x:c r="Q200" s="26" t="n">
        <x:v>0.11841234291121572</x:v>
      </x:c>
      <x:c r="R200" s="24" t="n">
        <x:f>O200*P200*Q200</x:f>
        <x:v>96.97970884428567</x:v>
      </x:c>
      <x:c r="S200" s="24" t="n">
        <x:f>P200*(1-Q200)</x:f>
        <x:v>4.011223839753968</x:v>
      </x:c>
      <x:c r="T200" s="24" t="n">
        <x:f>O200*S200</x:f>
        <x:v>722.0202911557142</x:v>
      </x:c>
      <x:c r="U200" t="str">
        <x:v>NORTE</x:v>
      </x:c>
      <x:c r="V200" t="str">
        <x:v>Farmacia Norte</x:v>
      </x:c>
      <x:c r="W200" t="str">
        <x:v>Zona Norte</x:v>
      </x:c>
      <x:c r="X200" t="str">
        <x:v>Quito</x:v>
      </x:c>
      <x:c r="Y200" s="32" t="str">
        <x:v>Av. 10 de Agosto N45-20</x:v>
      </x:c>
      <x:c r="Z200" s="22" t="n">
        <x:v>46146</x:v>
      </x:c>
      <x:c r="AA200" t="str">
        <x:v>Recibido</x:v>
      </x:c>
      <x:c r="AB200" t="str">
        <x:v>45 días crédito</x:v>
      </x:c>
      <x:c r="AC200" s="32" t="str"/>
    </x:row>
    <x:row r="201">
      <x:c r="A201" t="n">
        <x:v>200</x:v>
      </x:c>
      <x:c r="B201" s="22" t="n">
        <x:v>45975</x:v>
      </x:c>
      <x:c r="C201" t="str">
        <x:v>OC-2025-0200</x:v>
      </x:c>
      <x:c r="D201" t="str">
        <x:v>F-D007-202511-5256</x:v>
      </x:c>
      <x:c r="E201" t="str">
        <x:v>L2511-012-0200</x:v>
      </x:c>
      <x:c r="F201" t="str">
        <x:v>D007</x:v>
      </x:c>
      <x:c r="G201" s="32" t="str">
        <x:v>Comercializadora BioFarma</x:v>
      </x:c>
      <x:c r="H201" t="str">
        <x:v>MED012</x:v>
      </x:c>
      <x:c r="I201" s="32" t="str">
        <x:v>Multivitamínico adulto</x:v>
      </x:c>
      <x:c r="J201" s="32" t="str">
        <x:v>Vitaminas</x:v>
      </x:c>
      <x:c r="K201" s="32" t="str">
        <x:v>Novartis</x:v>
      </x:c>
      <x:c r="L201" s="32" t="str">
        <x:v>Frasco x 30 tabletas</x:v>
      </x:c>
      <x:c r="M201" s="28" t="n">
        <x:v>20</x:v>
      </x:c>
      <x:c r="N201" s="28" t="n">
        <x:v>10</x:v>
      </x:c>
      <x:c r="O201" s="28" t="n">
        <x:f>M201*N201</x:f>
        <x:v>200</x:v>
      </x:c>
      <x:c r="P201" s="24" t="n">
        <x:v>4.51</x:v>
      </x:c>
      <x:c r="Q201" s="26" t="n">
        <x:v>0.07308071965706794</x:v>
      </x:c>
      <x:c r="R201" s="24" t="n">
        <x:f>O201*P201*Q201</x:f>
        <x:v>65.91880913067529</x:v>
      </x:c>
      <x:c r="S201" s="24" t="n">
        <x:f>P201*(1-Q201)</x:f>
        <x:v>4.180405954346623</x:v>
      </x:c>
      <x:c r="T201" s="24" t="n">
        <x:f>O201*S201</x:f>
        <x:v>836.0811908693247</x:v>
      </x:c>
      <x:c r="U201" t="str">
        <x:v>NORTE</x:v>
      </x:c>
      <x:c r="V201" t="str">
        <x:v>Farmacia Norte</x:v>
      </x:c>
      <x:c r="W201" t="str">
        <x:v>Zona Norte</x:v>
      </x:c>
      <x:c r="X201" t="str">
        <x:v>Quito</x:v>
      </x:c>
      <x:c r="Y201" s="32" t="str">
        <x:v>Av. 10 de Agosto N45-20</x:v>
      </x:c>
      <x:c r="Z201" s="22" t="n">
        <x:v>45979</x:v>
      </x:c>
      <x:c r="AA201" t="str">
        <x:v>Recibido</x:v>
      </x:c>
      <x:c r="AB201" t="str">
        <x:v>15 días crédito</x:v>
      </x:c>
      <x:c r="AC201" s="32" t="str"/>
    </x:row>
    <x:row r="202">
      <x:c r="A202" t="n">
        <x:v>201</x:v>
      </x:c>
      <x:c r="B202" s="22" t="n">
        <x:v>46356</x:v>
      </x:c>
      <x:c r="C202" t="str">
        <x:v>OC-2026-0201</x:v>
      </x:c>
      <x:c r="D202" t="str">
        <x:v>F-D004-202611-5941</x:v>
      </x:c>
      <x:c r="E202" t="str">
        <x:v>L2611-014-0201</x:v>
      </x:c>
      <x:c r="F202" t="str">
        <x:v>D004</x:v>
      </x:c>
      <x:c r="G202" s="32" t="str">
        <x:v>Distribuidora Salud Total</x:v>
      </x:c>
      <x:c r="H202" t="str">
        <x:v>MED014</x:v>
      </x:c>
      <x:c r="I202" s="32" t="str">
        <x:v>Crema antimicótica</x:v>
      </x:c>
      <x:c r="J202" s="32" t="str">
        <x:v>Dermatológicos</x:v>
      </x:c>
      <x:c r="K202" s="32" t="str">
        <x:v>Acromax</x:v>
      </x:c>
      <x:c r="L202" s="32" t="str">
        <x:v>Tubo 30 g</x:v>
      </x:c>
      <x:c r="M202" s="28" t="n">
        <x:v>6</x:v>
      </x:c>
      <x:c r="N202" s="28" t="n">
        <x:v>20</x:v>
      </x:c>
      <x:c r="O202" s="28" t="n">
        <x:f>M202*N202</x:f>
        <x:v>120</x:v>
      </x:c>
      <x:c r="P202" s="24" t="n">
        <x:v>2.3</x:v>
      </x:c>
      <x:c r="Q202" s="26" t="n">
        <x:v>0.10899446051083442</x:v>
      </x:c>
      <x:c r="R202" s="24" t="n">
        <x:f>O202*P202*Q202</x:f>
        <x:v>30.0824711009903</x:v>
      </x:c>
      <x:c r="S202" s="24" t="n">
        <x:f>P202*(1-Q202)</x:f>
        <x:v>2.049312740825081</x:v>
      </x:c>
      <x:c r="T202" s="24" t="n">
        <x:f>O202*S202</x:f>
        <x:v>245.9175288990097</x:v>
      </x:c>
      <x:c r="U202" t="str">
        <x:v>VALLE</x:v>
      </x:c>
      <x:c r="V202" t="str">
        <x:v>Farmacia Valle de los Chillos</x:v>
      </x:c>
      <x:c r="W202" t="str">
        <x:v>Zona Valle</x:v>
      </x:c>
      <x:c r="X202" t="str">
        <x:v>Sangolquí</x:v>
      </x:c>
      <x:c r="Y202" s="32" t="str">
        <x:v>Av. Calderón 101</x:v>
      </x:c>
      <x:c r="Z202" s="22" t="n">
        <x:v>46360</x:v>
      </x:c>
      <x:c r="AA202" t="str">
        <x:v>Recibido</x:v>
      </x:c>
      <x:c r="AB202" t="str">
        <x:v>45 días crédito</x:v>
      </x:c>
      <x:c r="AC202" s="32" t="str"/>
    </x:row>
    <x:row r="203">
      <x:c r="A203" t="n">
        <x:v>202</x:v>
      </x:c>
      <x:c r="B203" s="22" t="n">
        <x:v>45932</x:v>
      </x:c>
      <x:c r="C203" t="str">
        <x:v>OC-2025-0202</x:v>
      </x:c>
      <x:c r="D203" t="str">
        <x:v>F-D003-202510-4480</x:v>
      </x:c>
      <x:c r="E203" t="str">
        <x:v>L2510-005-0202</x:v>
      </x:c>
      <x:c r="F203" t="str">
        <x:v>D003</x:v>
      </x:c>
      <x:c r="G203" s="32" t="str">
        <x:v>FarmaLogística Sierra</x:v>
      </x:c>
      <x:c r="H203" t="str">
        <x:v>MED005</x:v>
      </x:c>
      <x:c r="I203" s="32" t="str">
        <x:v>Loratadina 10 mg</x:v>
      </x:c>
      <x:c r="J203" s="32" t="str">
        <x:v>Antigripales</x:v>
      </x:c>
      <x:c r="K203" s="32" t="str">
        <x:v>Genfar</x:v>
      </x:c>
      <x:c r="L203" s="32" t="str">
        <x:v>Caja x 10 tabletas</x:v>
      </x:c>
      <x:c r="M203" s="28" t="n">
        <x:v>18</x:v>
      </x:c>
      <x:c r="N203" s="28" t="n">
        <x:v>20</x:v>
      </x:c>
      <x:c r="O203" s="28" t="n">
        <x:f>M203*N203</x:f>
        <x:v>360</x:v>
      </x:c>
      <x:c r="P203" s="24" t="n">
        <x:v>1.07</x:v>
      </x:c>
      <x:c r="Q203" s="26" t="n">
        <x:v>0.051190591989688866</x:v>
      </x:c>
      <x:c r="R203" s="24" t="n">
        <x:f>O203*P203*Q203</x:f>
        <x:v>19.718616034428152</x:v>
      </x:c>
      <x:c r="S203" s="24" t="n">
        <x:f>P203*(1-Q203)</x:f>
        <x:v>1.0152260665710329</x:v>
      </x:c>
      <x:c r="T203" s="24" t="n">
        <x:f>O203*S203</x:f>
        <x:v>365.4813839655718</x:v>
      </x:c>
      <x:c r="U203" t="str">
        <x:v>NORTE</x:v>
      </x:c>
      <x:c r="V203" t="str">
        <x:v>Farmacia Norte</x:v>
      </x:c>
      <x:c r="W203" t="str">
        <x:v>Zona Norte</x:v>
      </x:c>
      <x:c r="X203" t="str">
        <x:v>Quito</x:v>
      </x:c>
      <x:c r="Y203" s="32" t="str">
        <x:v>Av. 10 de Agosto N45-20</x:v>
      </x:c>
      <x:c r="Z203" s="22" t="n">
        <x:v>45936</x:v>
      </x:c>
      <x:c r="AA203" t="str">
        <x:v>Recibido</x:v>
      </x:c>
      <x:c r="AB203" t="str">
        <x:v>Contado contra entrega</x:v>
      </x:c>
      <x:c r="AC203" s="32" t="str"/>
    </x:row>
    <x:row r="204">
      <x:c r="A204" t="n">
        <x:v>203</x:v>
      </x:c>
      <x:c r="B204" s="22" t="n">
        <x:v>46254</x:v>
      </x:c>
      <x:c r="C204" t="str">
        <x:v>OC-2026-0203</x:v>
      </x:c>
      <x:c r="D204" t="str">
        <x:v>F-D005-202608-9998</x:v>
      </x:c>
      <x:c r="E204" t="str">
        <x:v>L2608-001-0203</x:v>
      </x:c>
      <x:c r="F204" t="str">
        <x:v>D005</x:v>
      </x:c>
      <x:c r="G204" s="32" t="str">
        <x:v>PharmaExpress Quito</x:v>
      </x:c>
      <x:c r="H204" t="str">
        <x:v>MED001</x:v>
      </x:c>
      <x:c r="I204" s="32" t="str">
        <x:v>Paracetamol 500 mg</x:v>
      </x:c>
      <x:c r="J204" s="32" t="str">
        <x:v>Analgésicos</x:v>
      </x:c>
      <x:c r="K204" s="32" t="str">
        <x:v>Genfar</x:v>
      </x:c>
      <x:c r="L204" s="32" t="str">
        <x:v>Caja x 20 tabletas</x:v>
      </x:c>
      <x:c r="M204" s="28" t="n">
        <x:v>15</x:v>
      </x:c>
      <x:c r="N204" s="28" t="n">
        <x:v>50</x:v>
      </x:c>
      <x:c r="O204" s="28" t="n">
        <x:f>M204*N204</x:f>
        <x:v>750</x:v>
      </x:c>
      <x:c r="P204" s="24" t="n">
        <x:v>0.93</x:v>
      </x:c>
      <x:c r="Q204" s="26" t="n">
        <x:v>0.08766799730243581</x:v>
      </x:c>
      <x:c r="R204" s="24" t="n">
        <x:f>O204*P204*Q204</x:f>
        <x:v>61.148428118448976</x:v>
      </x:c>
      <x:c r="S204" s="24" t="n">
        <x:f>P204*(1-Q204)</x:f>
        <x:v>0.8484687625087347</x:v>
      </x:c>
      <x:c r="T204" s="24" t="n">
        <x:f>O204*S204</x:f>
        <x:v>636.3515718815511</x:v>
      </x:c>
      <x:c r="U204" t="str">
        <x:v>SUR</x:v>
      </x:c>
      <x:c r="V204" t="str">
        <x:v>Farmacia del Sur</x:v>
      </x:c>
      <x:c r="W204" t="str">
        <x:v>Zona Sur</x:v>
      </x:c>
      <x:c r="X204" t="str">
        <x:v>Quito</x:v>
      </x:c>
      <x:c r="Y204" s="32" t="str">
        <x:v>Av. Maldonado S25-10</x:v>
      </x:c>
      <x:c r="Z204" s="22" t="n">
        <x:v>46255</x:v>
      </x:c>
      <x:c r="AA204" t="str">
        <x:v>Recibido</x:v>
      </x:c>
      <x:c r="AB204" t="str">
        <x:v>30 días crédito</x:v>
      </x:c>
      <x:c r="AC204" s="32" t="str"/>
    </x:row>
    <x:row r="205">
      <x:c r="A205" t="n">
        <x:v>204</x:v>
      </x:c>
      <x:c r="B205" s="22" t="n">
        <x:v>46177</x:v>
      </x:c>
      <x:c r="C205" t="str">
        <x:v>OC-2026-0204</x:v>
      </x:c>
      <x:c r="D205" t="str">
        <x:v>F-D007-202606-7859</x:v>
      </x:c>
      <x:c r="E205" t="str">
        <x:v>L2606-006-0204</x:v>
      </x:c>
      <x:c r="F205" t="str">
        <x:v>D007</x:v>
      </x:c>
      <x:c r="G205" s="32" t="str">
        <x:v>Comercializadora BioFarma</x:v>
      </x:c>
      <x:c r="H205" t="str">
        <x:v>MED006</x:v>
      </x:c>
      <x:c r="I205" s="32" t="str">
        <x:v>Vitamina C 1 g</x:v>
      </x:c>
      <x:c r="J205" s="32" t="str">
        <x:v>Vitaminas</x:v>
      </x:c>
      <x:c r="K205" s="32" t="str">
        <x:v>Novartis</x:v>
      </x:c>
      <x:c r="L205" s="32" t="str">
        <x:v>Tubo x 10 efervescentes</x:v>
      </x:c>
      <x:c r="M205" s="28" t="n">
        <x:v>8</x:v>
      </x:c>
      <x:c r="N205" s="28" t="n">
        <x:v>20</x:v>
      </x:c>
      <x:c r="O205" s="28" t="n">
        <x:f>M205*N205</x:f>
        <x:v>160</x:v>
      </x:c>
      <x:c r="P205" s="24" t="n">
        <x:v>2.24</x:v>
      </x:c>
      <x:c r="Q205" s="26" t="n">
        <x:v>0.03750507709580575</x:v>
      </x:c>
      <x:c r="R205" s="24" t="n">
        <x:f>O205*P205*Q205</x:f>
        <x:v>13.441819631136783</x:v>
      </x:c>
      <x:c r="S205" s="24" t="n">
        <x:f>P205*(1-Q205)</x:f>
        <x:v>2.1559886273053954</x:v>
      </x:c>
      <x:c r="T205" s="24" t="n">
        <x:f>O205*S205</x:f>
        <x:v>344.9581803688633</x:v>
      </x:c>
      <x:c r="U205" t="str">
        <x:v>SUR</x:v>
      </x:c>
      <x:c r="V205" t="str">
        <x:v>Farmacia del Sur</x:v>
      </x:c>
      <x:c r="W205" t="str">
        <x:v>Zona Sur</x:v>
      </x:c>
      <x:c r="X205" t="str">
        <x:v>Quito</x:v>
      </x:c>
      <x:c r="Y205" s="32" t="str">
        <x:v>Av. Maldonado S25-10</x:v>
      </x:c>
      <x:c r="Z205" s="22" t="n">
        <x:v>46178</x:v>
      </x:c>
      <x:c r="AA205" t="str">
        <x:v>Recibido</x:v>
      </x:c>
      <x:c r="AB205" t="str">
        <x:v>15 días crédito</x:v>
      </x:c>
      <x:c r="AC205" s="32" t="str"/>
    </x:row>
    <x:row r="206">
      <x:c r="A206" t="n">
        <x:v>205</x:v>
      </x:c>
      <x:c r="B206" s="22" t="n">
        <x:v>46348</x:v>
      </x:c>
      <x:c r="C206" t="str">
        <x:v>OC-2026-0205</x:v>
      </x:c>
      <x:c r="D206" t="str">
        <x:v>F-D001-202611-7048</x:v>
      </x:c>
      <x:c r="E206" t="str">
        <x:v>L2611-001-0205</x:v>
      </x:c>
      <x:c r="F206" t="str">
        <x:v>D001</x:v>
      </x:c>
      <x:c r="G206" s="32" t="str">
        <x:v>DistriFarma Andina S.A.</x:v>
      </x:c>
      <x:c r="H206" t="str">
        <x:v>MED001</x:v>
      </x:c>
      <x:c r="I206" s="32" t="str">
        <x:v>Paracetamol 500 mg</x:v>
      </x:c>
      <x:c r="J206" s="32" t="str">
        <x:v>Analgésicos</x:v>
      </x:c>
      <x:c r="K206" s="32" t="str">
        <x:v>Genfar</x:v>
      </x:c>
      <x:c r="L206" s="32" t="str">
        <x:v>Caja x 20 tabletas</x:v>
      </x:c>
      <x:c r="M206" s="28" t="n">
        <x:v>5</x:v>
      </x:c>
      <x:c r="N206" s="28" t="n">
        <x:v>60</x:v>
      </x:c>
      <x:c r="O206" s="28" t="n">
        <x:f>M206*N206</x:f>
        <x:v>300</x:v>
      </x:c>
      <x:c r="P206" s="24" t="n">
        <x:v>0.97</x:v>
      </x:c>
      <x:c r="Q206" s="26" t="n">
        <x:v>0.09936703823598336</x:v>
      </x:c>
      <x:c r="R206" s="24" t="n">
        <x:f>O206*P206*Q206</x:f>
        <x:v>28.91580812667116</x:v>
      </x:c>
      <x:c r="S206" s="24" t="n">
        <x:f>P206*(1-Q206)</x:f>
        <x:v>0.8736139729110961</x:v>
      </x:c>
      <x:c r="T206" s="24" t="n">
        <x:f>O206*S206</x:f>
        <x:v>262.08419187332885</x:v>
      </x:c>
      <x:c r="U206" t="str">
        <x:v>CENTRO</x:v>
      </x:c>
      <x:c r="V206" t="str">
        <x:v>Farmacia Centro Histórico</x:v>
      </x:c>
      <x:c r="W206" t="str">
        <x:v>Zona Centro</x:v>
      </x:c>
      <x:c r="X206" t="str">
        <x:v>Quito</x:v>
      </x:c>
      <x:c r="Y206" s="32" t="str">
        <x:v>Guayaquil y Chile</x:v>
      </x:c>
      <x:c r="Z206" s="22" t="n">
        <x:v>46350</x:v>
      </x:c>
      <x:c r="AA206" t="str">
        <x:v>Recibido</x:v>
      </x:c>
      <x:c r="AB206" t="str">
        <x:v>30 días crédito</x:v>
      </x:c>
      <x:c r="AC206" s="32" t="str"/>
    </x:row>
    <x:row r="207">
      <x:c r="A207" t="n">
        <x:v>206</x:v>
      </x:c>
      <x:c r="B207" s="22" t="n">
        <x:v>45936</x:v>
      </x:c>
      <x:c r="C207" t="str">
        <x:v>OC-2025-0206</x:v>
      </x:c>
      <x:c r="D207" t="str">
        <x:v>F-D003-202510-3005</x:v>
      </x:c>
      <x:c r="E207" t="str">
        <x:v>L2510-002-0206</x:v>
      </x:c>
      <x:c r="F207" t="str">
        <x:v>D003</x:v>
      </x:c>
      <x:c r="G207" s="32" t="str">
        <x:v>FarmaLogística Sierra</x:v>
      </x:c>
      <x:c r="H207" t="str">
        <x:v>MED002</x:v>
      </x:c>
      <x:c r="I207" s="32" t="str">
        <x:v>Ibuprofeno 400 mg</x:v>
      </x:c>
      <x:c r="J207" s="32" t="str">
        <x:v>Analgésicos</x:v>
      </x:c>
      <x:c r="K207" s="32" t="str">
        <x:v>La Santé</x:v>
      </x:c>
      <x:c r="L207" s="32" t="str">
        <x:v>Caja x 20 tabletas</x:v>
      </x:c>
      <x:c r="M207" s="28" t="n">
        <x:v>12</x:v>
      </x:c>
      <x:c r="N207" s="28" t="n">
        <x:v>50</x:v>
      </x:c>
      <x:c r="O207" s="28" t="n">
        <x:f>M207*N207</x:f>
        <x:v>600</x:v>
      </x:c>
      <x:c r="P207" s="24" t="n">
        <x:v>1.06</x:v>
      </x:c>
      <x:c r="Q207" s="26" t="n">
        <x:v>0.06774333796675408</x:v>
      </x:c>
      <x:c r="R207" s="24" t="n">
        <x:f>O207*P207*Q207</x:f>
        <x:v>43.0847629468556</x:v>
      </x:c>
      <x:c r="S207" s="24" t="n">
        <x:f>P207*(1-Q207)</x:f>
        <x:v>0.9881920617552408</x:v>
      </x:c>
      <x:c r="T207" s="24" t="n">
        <x:f>O207*S207</x:f>
        <x:v>592.9152370531444</x:v>
      </x:c>
      <x:c r="U207" t="str">
        <x:v>SUR</x:v>
      </x:c>
      <x:c r="V207" t="str">
        <x:v>Farmacia del Sur</x:v>
      </x:c>
      <x:c r="W207" t="str">
        <x:v>Zona Sur</x:v>
      </x:c>
      <x:c r="X207" t="str">
        <x:v>Quito</x:v>
      </x:c>
      <x:c r="Y207" s="32" t="str">
        <x:v>Av. Maldonado S25-10</x:v>
      </x:c>
      <x:c r="Z207" s="22" t="n">
        <x:v>45941</x:v>
      </x:c>
      <x:c r="AA207" t="str">
        <x:v>Recibido</x:v>
      </x:c>
      <x:c r="AB207" t="str">
        <x:v>Contado contra entrega</x:v>
      </x:c>
      <x:c r="AC207" s="32" t="str">
        <x:v>Entrega coordinada fuera de horario regular</x:v>
      </x:c>
    </x:row>
    <x:row r="208">
      <x:c r="A208" t="n">
        <x:v>207</x:v>
      </x:c>
      <x:c r="B208" s="22" t="n">
        <x:v>46057</x:v>
      </x:c>
      <x:c r="C208" t="str">
        <x:v>OC-2026-0207</x:v>
      </x:c>
      <x:c r="D208" t="str">
        <x:v>F-D002-202602-1145</x:v>
      </x:c>
      <x:c r="E208" t="str">
        <x:v>L2602-010-0207</x:v>
      </x:c>
      <x:c r="F208" t="str">
        <x:v>D002</x:v>
      </x:c>
      <x:c r="G208" s="32" t="str">
        <x:v>MedSupply Ecuador Cía. Ltda.</x:v>
      </x:c>
      <x:c r="H208" t="str">
        <x:v>MED010</x:v>
      </x:c>
      <x:c r="I208" s="32" t="str">
        <x:v>Aspirina 100 mg</x:v>
      </x:c>
      <x:c r="J208" s="32" t="str">
        <x:v>Cardiovasculares</x:v>
      </x:c>
      <x:c r="K208" s="32" t="str">
        <x:v>Bayer</x:v>
      </x:c>
      <x:c r="L208" s="32" t="str">
        <x:v>Caja x 30 tabletas</x:v>
      </x:c>
      <x:c r="M208" s="28" t="n">
        <x:v>16</x:v>
      </x:c>
      <x:c r="N208" s="28" t="n">
        <x:v>30</x:v>
      </x:c>
      <x:c r="O208" s="28" t="n">
        <x:f>M208*N208</x:f>
        <x:v>480</x:v>
      </x:c>
      <x:c r="P208" s="24" t="n">
        <x:v>1.48</x:v>
      </x:c>
      <x:c r="Q208" s="26" t="n">
        <x:v>0.05326248917879684</x:v>
      </x:c>
      <x:c r="R208" s="24" t="n">
        <x:f>O208*P208*Q208</x:f>
        <x:v>37.83767231261727</x:v>
      </x:c>
      <x:c r="S208" s="24" t="n">
        <x:f>P208*(1-Q208)</x:f>
        <x:v>1.4011715160153806</x:v>
      </x:c>
      <x:c r="T208" s="24" t="n">
        <x:f>O208*S208</x:f>
        <x:v>672.5623276873827</x:v>
      </x:c>
      <x:c r="U208" t="str">
        <x:v>SUR</x:v>
      </x:c>
      <x:c r="V208" t="str">
        <x:v>Farmacia del Sur</x:v>
      </x:c>
      <x:c r="W208" t="str">
        <x:v>Zona Sur</x:v>
      </x:c>
      <x:c r="X208" t="str">
        <x:v>Quito</x:v>
      </x:c>
      <x:c r="Y208" s="32" t="str">
        <x:v>Av. Maldonado S25-10</x:v>
      </x:c>
      <x:c r="Z208" s="22" t="n">
        <x:v>46060</x:v>
      </x:c>
      <x:c r="AA208" t="str">
        <x:v>Recibido</x:v>
      </x:c>
      <x:c r="AB208" t="str">
        <x:v>15 días crédito</x:v>
      </x:c>
      <x:c r="AC208" s="32" t="str">
        <x:v>Entrega coordinada fuera de horario regular</x:v>
      </x:c>
    </x:row>
    <x:row r="209">
      <x:c r="A209" t="n">
        <x:v>208</x:v>
      </x:c>
      <x:c r="B209" s="22" t="n">
        <x:v>46019</x:v>
      </x:c>
      <x:c r="C209" t="str">
        <x:v>OC-2025-0208</x:v>
      </x:c>
      <x:c r="D209" t="str">
        <x:v>F-D001-202512-9337</x:v>
      </x:c>
      <x:c r="E209" t="str">
        <x:v>L2512-005-0208</x:v>
      </x:c>
      <x:c r="F209" t="str">
        <x:v>D001</x:v>
      </x:c>
      <x:c r="G209" s="32" t="str">
        <x:v>DistriFarma Andina S.A.</x:v>
      </x:c>
      <x:c r="H209" t="str">
        <x:v>MED005</x:v>
      </x:c>
      <x:c r="I209" s="32" t="str">
        <x:v>Loratadina 10 mg</x:v>
      </x:c>
      <x:c r="J209" s="32" t="str">
        <x:v>Antigripales</x:v>
      </x:c>
      <x:c r="K209" s="32" t="str">
        <x:v>Genfar</x:v>
      </x:c>
      <x:c r="L209" s="32" t="str">
        <x:v>Caja x 10 tabletas</x:v>
      </x:c>
      <x:c r="M209" s="28" t="n">
        <x:v>48</x:v>
      </x:c>
      <x:c r="N209" s="28" t="n">
        <x:v>10</x:v>
      </x:c>
      <x:c r="O209" s="28" t="n">
        <x:f>M209*N209</x:f>
        <x:v>480</x:v>
      </x:c>
      <x:c r="P209" s="24" t="n">
        <x:v>1.06</x:v>
      </x:c>
      <x:c r="Q209" s="26" t="n">
        <x:v>0.0816594532380975</x:v>
      </x:c>
      <x:c r="R209" s="24" t="n">
        <x:f>O209*P209*Q209</x:f>
        <x:v>41.548329807544015</x:v>
      </x:c>
      <x:c r="S209" s="24" t="n">
        <x:f>P209*(1-Q209)</x:f>
        <x:v>0.9734409795676167</x:v>
      </x:c>
      <x:c r="T209" s="24" t="n">
        <x:f>O209*S209</x:f>
        <x:v>467.251670192456</x:v>
      </x:c>
      <x:c r="U209" t="str">
        <x:v>SUR</x:v>
      </x:c>
      <x:c r="V209" t="str">
        <x:v>Farmacia del Sur</x:v>
      </x:c>
      <x:c r="W209" t="str">
        <x:v>Zona Sur</x:v>
      </x:c>
      <x:c r="X209" t="str">
        <x:v>Quito</x:v>
      </x:c>
      <x:c r="Y209" s="32" t="str">
        <x:v>Av. Maldonado S25-10</x:v>
      </x:c>
      <x:c r="Z209" s="22" t="n">
        <x:v>46021</x:v>
      </x:c>
      <x:c r="AA209" t="str">
        <x:v>Recibido</x:v>
      </x:c>
      <x:c r="AB209" t="str">
        <x:v>30 días crédito</x:v>
      </x:c>
      <x:c r="AC209" s="32" t="str"/>
    </x:row>
    <x:row r="210">
      <x:c r="A210" t="n">
        <x:v>209</x:v>
      </x:c>
      <x:c r="B210" s="22" t="n">
        <x:v>45848</x:v>
      </x:c>
      <x:c r="C210" t="str">
        <x:v>OC-2025-0209</x:v>
      </x:c>
      <x:c r="D210" t="str">
        <x:v>F-D001-202507-4919</x:v>
      </x:c>
      <x:c r="E210" t="str">
        <x:v>L2507-007-0209</x:v>
      </x:c>
      <x:c r="F210" t="str">
        <x:v>D001</x:v>
      </x:c>
      <x:c r="G210" s="32" t="str">
        <x:v>DistriFarma Andina S.A.</x:v>
      </x:c>
      <x:c r="H210" t="str">
        <x:v>MED007</x:v>
      </x:c>
      <x:c r="I210" s="32" t="str">
        <x:v>Omeprazol 20 mg</x:v>
      </x:c>
      <x:c r="J210" s="32" t="str">
        <x:v>Gastrointestinales</x:v>
      </x:c>
      <x:c r="K210" s="32" t="str">
        <x:v>La Santé</x:v>
      </x:c>
      <x:c r="L210" s="32" t="str">
        <x:v>Caja x 30 cápsulas</x:v>
      </x:c>
      <x:c r="M210" s="28" t="n">
        <x:v>3</x:v>
      </x:c>
      <x:c r="N210" s="28" t="n">
        <x:v>60</x:v>
      </x:c>
      <x:c r="O210" s="28" t="n">
        <x:f>M210*N210</x:f>
        <x:v>180</x:v>
      </x:c>
      <x:c r="P210" s="24" t="n">
        <x:v>2.64</x:v>
      </x:c>
      <x:c r="Q210" s="26" t="n">
        <x:v>0.10055787134981856</x:v>
      </x:c>
      <x:c r="R210" s="24" t="n">
        <x:f>O210*P210*Q210</x:f>
        <x:v>47.785100465433786</x:v>
      </x:c>
      <x:c r="S210" s="24" t="n">
        <x:f>P210*(1-Q210)</x:f>
        <x:v>2.3745272196364793</x:v>
      </x:c>
      <x:c r="T210" s="24" t="n">
        <x:f>O210*S210</x:f>
        <x:v>427.41489953456625</x:v>
      </x:c>
      <x:c r="U210" t="str">
        <x:v>NORTE</x:v>
      </x:c>
      <x:c r="V210" t="str">
        <x:v>Farmacia Norte</x:v>
      </x:c>
      <x:c r="W210" t="str">
        <x:v>Zona Norte</x:v>
      </x:c>
      <x:c r="X210" t="str">
        <x:v>Quito</x:v>
      </x:c>
      <x:c r="Y210" s="32" t="str">
        <x:v>Av. 10 de Agosto N45-20</x:v>
      </x:c>
      <x:c r="Z210" s="22" t="n">
        <x:v>45852</x:v>
      </x:c>
      <x:c r="AA210" t="str">
        <x:v>Recibido</x:v>
      </x:c>
      <x:c r="AB210" t="str">
        <x:v>30 días crédito</x:v>
      </x:c>
      <x:c r="AC210" s="32" t="str"/>
    </x:row>
    <x:row r="211">
      <x:c r="A211" t="n">
        <x:v>210</x:v>
      </x:c>
      <x:c r="B211" s="22" t="n">
        <x:v>46181</x:v>
      </x:c>
      <x:c r="C211" t="str">
        <x:v>OC-2026-0210</x:v>
      </x:c>
      <x:c r="D211" t="str">
        <x:v>F-D002-202606-2397</x:v>
      </x:c>
      <x:c r="E211" t="str">
        <x:v>L2606-008-0210</x:v>
      </x:c>
      <x:c r="F211" t="str">
        <x:v>D002</x:v>
      </x:c>
      <x:c r="G211" s="32" t="str">
        <x:v>MedSupply Ecuador Cía. Ltda.</x:v>
      </x:c>
      <x:c r="H211" t="str">
        <x:v>MED008</x:v>
      </x:c>
      <x:c r="I211" s="32" t="str">
        <x:v>Diclofenaco gel</x:v>
      </x:c>
      <x:c r="J211" s="32" t="str">
        <x:v>Dermatológicos</x:v>
      </x:c>
      <x:c r="K211" s="32" t="str">
        <x:v>Bayer</x:v>
      </x:c>
      <x:c r="L211" s="32" t="str">
        <x:v>Tubo 50 g</x:v>
      </x:c>
      <x:c r="M211" s="28" t="n">
        <x:v>60</x:v>
      </x:c>
      <x:c r="N211" s="28" t="n">
        <x:v>10</x:v>
      </x:c>
      <x:c r="O211" s="28" t="n">
        <x:f>M211*N211</x:f>
        <x:v>600</x:v>
      </x:c>
      <x:c r="P211" s="24" t="n">
        <x:v>1.89</x:v>
      </x:c>
      <x:c r="Q211" s="26" t="n">
        <x:v>0.05392144172684005</x:v>
      </x:c>
      <x:c r="R211" s="24" t="n">
        <x:f>O211*P211*Q211</x:f>
        <x:v>61.14691491823661</x:v>
      </x:c>
      <x:c r="S211" s="24" t="n">
        <x:f>P211*(1-Q211)</x:f>
        <x:v>1.788088475136272</x:v>
      </x:c>
      <x:c r="T211" s="24" t="n">
        <x:f>O211*S211</x:f>
        <x:v>1072.8530850817633</x:v>
      </x:c>
      <x:c r="U211" t="str">
        <x:v>CENTRO</x:v>
      </x:c>
      <x:c r="V211" t="str">
        <x:v>Farmacia Centro Histórico</x:v>
      </x:c>
      <x:c r="W211" t="str">
        <x:v>Zona Centro</x:v>
      </x:c>
      <x:c r="X211" t="str">
        <x:v>Quito</x:v>
      </x:c>
      <x:c r="Y211" s="32" t="str">
        <x:v>Guayaquil y Chile</x:v>
      </x:c>
      <x:c r="Z211" s="22" t="n">
        <x:v>46183</x:v>
      </x:c>
      <x:c r="AA211" t="str">
        <x:v>Recibido</x:v>
      </x:c>
      <x:c r="AB211" t="str">
        <x:v>15 días crédito</x:v>
      </x:c>
      <x:c r="AC211" s="32" t="str"/>
    </x:row>
    <x:row r="212">
      <x:c r="A212" t="n">
        <x:v>211</x:v>
      </x:c>
      <x:c r="B212" s="22" t="n">
        <x:v>46133</x:v>
      </x:c>
      <x:c r="C212" t="str">
        <x:v>OC-2026-0211</x:v>
      </x:c>
      <x:c r="D212" t="str">
        <x:v>F-D006-202604-3780</x:v>
      </x:c>
      <x:c r="E212" t="str">
        <x:v>L2604-010-0211</x:v>
      </x:c>
      <x:c r="F212" t="str">
        <x:v>D006</x:v>
      </x:c>
      <x:c r="G212" s="32" t="str">
        <x:v>Insumos Médicos del Pacífico</x:v>
      </x:c>
      <x:c r="H212" t="str">
        <x:v>MED010</x:v>
      </x:c>
      <x:c r="I212" s="32" t="str">
        <x:v>Aspirina 100 mg</x:v>
      </x:c>
      <x:c r="J212" s="32" t="str">
        <x:v>Cardiovasculares</x:v>
      </x:c>
      <x:c r="K212" s="32" t="str">
        <x:v>Bayer</x:v>
      </x:c>
      <x:c r="L212" s="32" t="str">
        <x:v>Caja x 30 tabletas</x:v>
      </x:c>
      <x:c r="M212" s="28" t="n">
        <x:v>6</x:v>
      </x:c>
      <x:c r="N212" s="28" t="n">
        <x:v>30</x:v>
      </x:c>
      <x:c r="O212" s="28" t="n">
        <x:f>M212*N212</x:f>
        <x:v>180</x:v>
      </x:c>
      <x:c r="P212" s="24" t="n">
        <x:v>1.62</x:v>
      </x:c>
      <x:c r="Q212" s="26" t="n">
        <x:v>0.14037340970937126</x:v>
      </x:c>
      <x:c r="R212" s="24" t="n">
        <x:f>O212*P212*Q212</x:f>
        <x:v>40.93288627125266</x:v>
      </x:c>
      <x:c r="S212" s="24" t="n">
        <x:f>P212*(1-Q212)</x:f>
        <x:v>1.3925950762708186</x:v>
      </x:c>
      <x:c r="T212" s="24" t="n">
        <x:f>O212*S212</x:f>
        <x:v>250.66711372874735</x:v>
      </x:c>
      <x:c r="U212" t="str">
        <x:v>SUR</x:v>
      </x:c>
      <x:c r="V212" t="str">
        <x:v>Farmacia del Sur</x:v>
      </x:c>
      <x:c r="W212" t="str">
        <x:v>Zona Sur</x:v>
      </x:c>
      <x:c r="X212" t="str">
        <x:v>Quito</x:v>
      </x:c>
      <x:c r="Y212" s="32" t="str">
        <x:v>Av. Maldonado S25-10</x:v>
      </x:c>
      <x:c r="Z212" s="22" t="n">
        <x:v>46136</x:v>
      </x:c>
      <x:c r="AA212" t="str">
        <x:v>Recibido</x:v>
      </x:c>
      <x:c r="AB212" t="str">
        <x:v>60 días crédito</x:v>
      </x:c>
      <x:c r="AC212" s="32" t="str">
        <x:v>Descuento por volumen</x:v>
      </x:c>
    </x:row>
    <x:row r="213">
      <x:c r="A213" t="n">
        <x:v>212</x:v>
      </x:c>
      <x:c r="B213" s="22" t="n">
        <x:v>46244</x:v>
      </x:c>
      <x:c r="C213" t="str">
        <x:v>OC-2026-0212</x:v>
      </x:c>
      <x:c r="D213" t="str">
        <x:v>F-D002-202608-5269</x:v>
      </x:c>
      <x:c r="E213" t="str">
        <x:v>L2608-006-0212</x:v>
      </x:c>
      <x:c r="F213" t="str">
        <x:v>D002</x:v>
      </x:c>
      <x:c r="G213" s="32" t="str">
        <x:v>MedSupply Ecuador Cía. Ltda.</x:v>
      </x:c>
      <x:c r="H213" t="str">
        <x:v>MED006</x:v>
      </x:c>
      <x:c r="I213" s="32" t="str">
        <x:v>Vitamina C 1 g</x:v>
      </x:c>
      <x:c r="J213" s="32" t="str">
        <x:v>Vitaminas</x:v>
      </x:c>
      <x:c r="K213" s="32" t="str">
        <x:v>Novartis</x:v>
      </x:c>
      <x:c r="L213" s="32" t="str">
        <x:v>Tubo x 10 efervescentes</x:v>
      </x:c>
      <x:c r="M213" s="28" t="n">
        <x:v>13</x:v>
      </x:c>
      <x:c r="N213" s="28" t="n">
        <x:v>24</x:v>
      </x:c>
      <x:c r="O213" s="28" t="n">
        <x:f>M213*N213</x:f>
        <x:v>312</x:v>
      </x:c>
      <x:c r="P213" s="24" t="n">
        <x:v>2.55</x:v>
      </x:c>
      <x:c r="Q213" s="26" t="n">
        <x:v>0.04377426249806733</x:v>
      </x:c>
      <x:c r="R213" s="24" t="n">
        <x:f>O213*P213*Q213</x:f>
        <x:v>34.826803243462365</x:v>
      </x:c>
      <x:c r="S213" s="24" t="n">
        <x:f>P213*(1-Q213)</x:f>
        <x:v>2.438375630629928</x:v>
      </x:c>
      <x:c r="T213" s="24" t="n">
        <x:f>O213*S213</x:f>
        <x:v>760.7731967565376</x:v>
      </x:c>
      <x:c r="U213" t="str">
        <x:v>VALLE</x:v>
      </x:c>
      <x:c r="V213" t="str">
        <x:v>Farmacia Valle de los Chillos</x:v>
      </x:c>
      <x:c r="W213" t="str">
        <x:v>Zona Valle</x:v>
      </x:c>
      <x:c r="X213" t="str">
        <x:v>Sangolquí</x:v>
      </x:c>
      <x:c r="Y213" s="32" t="str">
        <x:v>Av. Calderón 101</x:v>
      </x:c>
      <x:c r="Z213" s="22" t="n">
        <x:v>46249</x:v>
      </x:c>
      <x:c r="AA213" t="str">
        <x:v>Recibido</x:v>
      </x:c>
      <x:c r="AB213" t="str">
        <x:v>15 días crédito</x:v>
      </x:c>
      <x:c r="AC213" s="32" t="str">
        <x:v>Entrega coordinada fuera de horario regular</x:v>
      </x:c>
    </x:row>
    <x:row r="214">
      <x:c r="A214" t="n">
        <x:v>213</x:v>
      </x:c>
      <x:c r="B214" s="22" t="n">
        <x:v>46313</x:v>
      </x:c>
      <x:c r="C214" t="str">
        <x:v>OC-2026-0213</x:v>
      </x:c>
      <x:c r="D214" t="str">
        <x:v>F-D005-202610-1869</x:v>
      </x:c>
      <x:c r="E214" t="str">
        <x:v>L2610-005-0213</x:v>
      </x:c>
      <x:c r="F214" t="str">
        <x:v>D005</x:v>
      </x:c>
      <x:c r="G214" s="32" t="str">
        <x:v>PharmaExpress Quito</x:v>
      </x:c>
      <x:c r="H214" t="str">
        <x:v>MED005</x:v>
      </x:c>
      <x:c r="I214" s="32" t="str">
        <x:v>Loratadina 10 mg</x:v>
      </x:c>
      <x:c r="J214" s="32" t="str">
        <x:v>Antigripales</x:v>
      </x:c>
      <x:c r="K214" s="32" t="str">
        <x:v>Genfar</x:v>
      </x:c>
      <x:c r="L214" s="32" t="str">
        <x:v>Caja x 10 tabletas</x:v>
      </x:c>
      <x:c r="M214" s="28" t="n">
        <x:v>6</x:v>
      </x:c>
      <x:c r="N214" s="28" t="n">
        <x:v>50</x:v>
      </x:c>
      <x:c r="O214" s="28" t="n">
        <x:f>M214*N214</x:f>
        <x:v>300</x:v>
      </x:c>
      <x:c r="P214" s="24" t="n">
        <x:v>1.2</x:v>
      </x:c>
      <x:c r="Q214" s="26" t="n">
        <x:v>0.04782457371431508</x:v>
      </x:c>
      <x:c r="R214" s="24" t="n">
        <x:f>O214*P214*Q214</x:f>
        <x:v>17.21684653715343</x:v>
      </x:c>
      <x:c r="S214" s="24" t="n">
        <x:f>P214*(1-Q214)</x:f>
        <x:v>1.142610511542822</x:v>
      </x:c>
      <x:c r="T214" s="24" t="n">
        <x:f>O214*S214</x:f>
        <x:v>342.7831534628466</x:v>
      </x:c>
      <x:c r="U214" t="str">
        <x:v>SUR</x:v>
      </x:c>
      <x:c r="V214" t="str">
        <x:v>Farmacia del Sur</x:v>
      </x:c>
      <x:c r="W214" t="str">
        <x:v>Zona Sur</x:v>
      </x:c>
      <x:c r="X214" t="str">
        <x:v>Quito</x:v>
      </x:c>
      <x:c r="Y214" s="32" t="str">
        <x:v>Av. Maldonado S25-10</x:v>
      </x:c>
      <x:c r="Z214" s="22" t="n">
        <x:v>46316</x:v>
      </x:c>
      <x:c r="AA214" t="str">
        <x:v>Recibido</x:v>
      </x:c>
      <x:c r="AB214" t="str">
        <x:v>30 días crédito</x:v>
      </x:c>
      <x:c r="AC214" s="32" t="str"/>
    </x:row>
    <x:row r="215">
      <x:c r="A215" t="n">
        <x:v>214</x:v>
      </x:c>
      <x:c r="B215" s="22" t="n">
        <x:v>45971</x:v>
      </x:c>
      <x:c r="C215" t="str">
        <x:v>OC-2025-0214</x:v>
      </x:c>
      <x:c r="D215" t="str">
        <x:v>F-D004-202511-3958</x:v>
      </x:c>
      <x:c r="E215" t="str">
        <x:v>L2511-009-0214</x:v>
      </x:c>
      <x:c r="F215" t="str">
        <x:v>D004</x:v>
      </x:c>
      <x:c r="G215" s="32" t="str">
        <x:v>Distribuidora Salud Total</x:v>
      </x:c>
      <x:c r="H215" t="str">
        <x:v>MED009</x:v>
      </x:c>
      <x:c r="I215" s="32" t="str">
        <x:v>Losartán 50 mg</x:v>
      </x:c>
      <x:c r="J215" s="32" t="str">
        <x:v>Cardiovasculares</x:v>
      </x:c>
      <x:c r="K215" s="32" t="str">
        <x:v>Laboratorios Bagó</x:v>
      </x:c>
      <x:c r="L215" s="32" t="str">
        <x:v>Caja x 30 tabletas</x:v>
      </x:c>
      <x:c r="M215" s="28" t="n">
        <x:v>8</x:v>
      </x:c>
      <x:c r="N215" s="28" t="n">
        <x:v>10</x:v>
      </x:c>
      <x:c r="O215" s="28" t="n">
        <x:f>M215*N215</x:f>
        <x:v>80</x:v>
      </x:c>
      <x:c r="P215" s="24" t="n">
        <x:v>3.19</x:v>
      </x:c>
      <x:c r="Q215" s="26" t="n">
        <x:v>0.09980423552597223</x:v>
      </x:c>
      <x:c r="R215" s="24" t="n">
        <x:f>O215*P215*Q215</x:f>
        <x:v>25.47004090622811</x:v>
      </x:c>
      <x:c r="S215" s="24" t="n">
        <x:f>P215*(1-Q215)</x:f>
        <x:v>2.8716244886721483</x:v>
      </x:c>
      <x:c r="T215" s="24" t="n">
        <x:f>O215*S215</x:f>
        <x:v>229.72995909377187</x:v>
      </x:c>
      <x:c r="U215" t="str">
        <x:v>VALLE</x:v>
      </x:c>
      <x:c r="V215" t="str">
        <x:v>Farmacia Valle de los Chillos</x:v>
      </x:c>
      <x:c r="W215" t="str">
        <x:v>Zona Valle</x:v>
      </x:c>
      <x:c r="X215" t="str">
        <x:v>Sangolquí</x:v>
      </x:c>
      <x:c r="Y215" s="32" t="str">
        <x:v>Av. Calderón 101</x:v>
      </x:c>
      <x:c r="Z215" s="22" t="n">
        <x:v>45973</x:v>
      </x:c>
      <x:c r="AA215" t="str">
        <x:v>Recibido</x:v>
      </x:c>
      <x:c r="AB215" t="str">
        <x:v>45 días crédito</x:v>
      </x:c>
      <x:c r="AC215" s="32" t="str"/>
    </x:row>
    <x:row r="216">
      <x:c r="A216" t="n">
        <x:v>215</x:v>
      </x:c>
      <x:c r="B216" s="22" t="n">
        <x:v>45782</x:v>
      </x:c>
      <x:c r="C216" t="str">
        <x:v>OC-2025-0215</x:v>
      </x:c>
      <x:c r="D216" t="str">
        <x:v>F-D003-202505-3333</x:v>
      </x:c>
      <x:c r="E216" t="str">
        <x:v>L2505-005-0215</x:v>
      </x:c>
      <x:c r="F216" t="str">
        <x:v>D003</x:v>
      </x:c>
      <x:c r="G216" s="32" t="str">
        <x:v>FarmaLogística Sierra</x:v>
      </x:c>
      <x:c r="H216" t="str">
        <x:v>MED005</x:v>
      </x:c>
      <x:c r="I216" s="32" t="str">
        <x:v>Loratadina 10 mg</x:v>
      </x:c>
      <x:c r="J216" s="32" t="str">
        <x:v>Antigripales</x:v>
      </x:c>
      <x:c r="K216" s="32" t="str">
        <x:v>Genfar</x:v>
      </x:c>
      <x:c r="L216" s="32" t="str">
        <x:v>Caja x 10 tabletas</x:v>
      </x:c>
      <x:c r="M216" s="28" t="n">
        <x:v>72</x:v>
      </x:c>
      <x:c r="N216" s="28" t="n">
        <x:v>10</x:v>
      </x:c>
      <x:c r="O216" s="28" t="n">
        <x:f>M216*N216</x:f>
        <x:v>720</x:v>
      </x:c>
      <x:c r="P216" s="24" t="n">
        <x:v>1.08</x:v>
      </x:c>
      <x:c r="Q216" s="26" t="n">
        <x:v>0.05860822505606511</x:v>
      </x:c>
      <x:c r="R216" s="24" t="n">
        <x:f>O216*P216*Q216</x:f>
        <x:v>45.57375580359623</x:v>
      </x:c>
      <x:c r="S216" s="24" t="n">
        <x:f>P216*(1-Q216)</x:f>
        <x:v>1.0167031169394498</x:v>
      </x:c>
      <x:c r="T216" s="24" t="n">
        <x:f>O216*S216</x:f>
        <x:v>732.0262441964039</x:v>
      </x:c>
      <x:c r="U216" t="str">
        <x:v>VALLE</x:v>
      </x:c>
      <x:c r="V216" t="str">
        <x:v>Farmacia Valle de los Chillos</x:v>
      </x:c>
      <x:c r="W216" t="str">
        <x:v>Zona Valle</x:v>
      </x:c>
      <x:c r="X216" t="str">
        <x:v>Sangolquí</x:v>
      </x:c>
      <x:c r="Y216" s="32" t="str">
        <x:v>Av. Calderón 101</x:v>
      </x:c>
      <x:c r="Z216" s="22" t="n">
        <x:v>45784</x:v>
      </x:c>
      <x:c r="AA216" t="str">
        <x:v>Recibido</x:v>
      </x:c>
      <x:c r="AB216" t="str">
        <x:v>Contado contra entrega</x:v>
      </x:c>
      <x:c r="AC216" s="32" t="str"/>
    </x:row>
    <x:row r="217">
      <x:c r="A217" t="n">
        <x:v>216</x:v>
      </x:c>
      <x:c r="B217" s="22" t="n">
        <x:v>46202</x:v>
      </x:c>
      <x:c r="C217" t="str">
        <x:v>OC-2026-0216</x:v>
      </x:c>
      <x:c r="D217" t="str">
        <x:v>F-D005-202606-7642</x:v>
      </x:c>
      <x:c r="E217" t="str">
        <x:v>L2606-006-0216</x:v>
      </x:c>
      <x:c r="F217" t="str">
        <x:v>D005</x:v>
      </x:c>
      <x:c r="G217" s="32" t="str">
        <x:v>PharmaExpress Quito</x:v>
      </x:c>
      <x:c r="H217" t="str">
        <x:v>MED006</x:v>
      </x:c>
      <x:c r="I217" s="32" t="str">
        <x:v>Vitamina C 1 g</x:v>
      </x:c>
      <x:c r="J217" s="32" t="str">
        <x:v>Vitaminas</x:v>
      </x:c>
      <x:c r="K217" s="32" t="str">
        <x:v>Novartis</x:v>
      </x:c>
      <x:c r="L217" s="32" t="str">
        <x:v>Tubo x 10 efervescentes</x:v>
      </x:c>
      <x:c r="M217" s="28" t="n">
        <x:v>2</x:v>
      </x:c>
      <x:c r="N217" s="28" t="n">
        <x:v>60</x:v>
      </x:c>
      <x:c r="O217" s="28" t="n">
        <x:f>M217*N217</x:f>
        <x:v>120</x:v>
      </x:c>
      <x:c r="P217" s="24" t="n">
        <x:v>2.62</x:v>
      </x:c>
      <x:c r="Q217" s="26" t="n">
        <x:v>0.10288568805764144</x:v>
      </x:c>
      <x:c r="R217" s="24" t="n">
        <x:f>O217*P217*Q217</x:f>
        <x:v>32.34726032532247</x:v>
      </x:c>
      <x:c r="S217" s="24" t="n">
        <x:f>P217*(1-Q217)</x:f>
        <x:v>2.3504394972889795</x:v>
      </x:c>
      <x:c r="T217" s="24" t="n">
        <x:f>O217*S217</x:f>
        <x:v>282.0527396746775</x:v>
      </x:c>
      <x:c r="U217" t="str">
        <x:v>CENTRO</x:v>
      </x:c>
      <x:c r="V217" t="str">
        <x:v>Farmacia Centro Histórico</x:v>
      </x:c>
      <x:c r="W217" t="str">
        <x:v>Zona Centro</x:v>
      </x:c>
      <x:c r="X217" t="str">
        <x:v>Quito</x:v>
      </x:c>
      <x:c r="Y217" s="32" t="str">
        <x:v>Guayaquil y Chile</x:v>
      </x:c>
      <x:c r="Z217" s="22" t="n">
        <x:v>46207</x:v>
      </x:c>
      <x:c r="AA217" t="str">
        <x:v>Recibido</x:v>
      </x:c>
      <x:c r="AB217" t="str">
        <x:v>30 días crédito</x:v>
      </x:c>
      <x:c r="AC217" s="32" t="str">
        <x:v>Entrega coordinada fuera de horario regular</x:v>
      </x:c>
    </x:row>
    <x:row r="218">
      <x:c r="A218" t="n">
        <x:v>217</x:v>
      </x:c>
      <x:c r="B218" s="22" t="n">
        <x:v>45898</x:v>
      </x:c>
      <x:c r="C218" t="str">
        <x:v>OC-2025-0217</x:v>
      </x:c>
      <x:c r="D218" t="str">
        <x:v>F-D003-202508-8318</x:v>
      </x:c>
      <x:c r="E218" t="str">
        <x:v>L2508-007-0217</x:v>
      </x:c>
      <x:c r="F218" t="str">
        <x:v>D003</x:v>
      </x:c>
      <x:c r="G218" s="32" t="str">
        <x:v>FarmaLogística Sierra</x:v>
      </x:c>
      <x:c r="H218" t="str">
        <x:v>MED007</x:v>
      </x:c>
      <x:c r="I218" s="32" t="str">
        <x:v>Omeprazol 20 mg</x:v>
      </x:c>
      <x:c r="J218" s="32" t="str">
        <x:v>Gastrointestinales</x:v>
      </x:c>
      <x:c r="K218" s="32" t="str">
        <x:v>La Santé</x:v>
      </x:c>
      <x:c r="L218" s="32" t="str">
        <x:v>Caja x 30 cápsulas</x:v>
      </x:c>
      <x:c r="M218" s="28" t="n">
        <x:v>15</x:v>
      </x:c>
      <x:c r="N218" s="28" t="n">
        <x:v>24</x:v>
      </x:c>
      <x:c r="O218" s="28" t="n">
        <x:f>M218*N218</x:f>
        <x:v>360</x:v>
      </x:c>
      <x:c r="P218" s="24" t="n">
        <x:v>2.73</x:v>
      </x:c>
      <x:c r="Q218" s="26" t="n">
        <x:v>0.042776893070152346</x:v>
      </x:c>
      <x:c r="R218" s="24" t="n">
        <x:f>O218*P218*Q218</x:f>
        <x:v>42.04113050934572</x:v>
      </x:c>
      <x:c r="S218" s="24" t="n">
        <x:f>P218*(1-Q218)</x:f>
        <x:v>2.613219081918484</x:v>
      </x:c>
      <x:c r="T218" s="24" t="n">
        <x:f>O218*S218</x:f>
        <x:v>940.7588694906542</x:v>
      </x:c>
      <x:c r="U218" t="str">
        <x:v>CENTRO</x:v>
      </x:c>
      <x:c r="V218" t="str">
        <x:v>Farmacia Centro Histórico</x:v>
      </x:c>
      <x:c r="W218" t="str">
        <x:v>Zona Centro</x:v>
      </x:c>
      <x:c r="X218" t="str">
        <x:v>Quito</x:v>
      </x:c>
      <x:c r="Y218" s="32" t="str">
        <x:v>Guayaquil y Chile</x:v>
      </x:c>
      <x:c r="Z218" s="22" t="n">
        <x:v>45901</x:v>
      </x:c>
      <x:c r="AA218" t="str">
        <x:v>Recibido</x:v>
      </x:c>
      <x:c r="AB218" t="str">
        <x:v>Contado contra entrega</x:v>
      </x:c>
      <x:c r="AC218" s="32" t="str"/>
    </x:row>
    <x:row r="219">
      <x:c r="A219" t="n">
        <x:v>218</x:v>
      </x:c>
      <x:c r="B219" s="22" t="n">
        <x:v>46355</x:v>
      </x:c>
      <x:c r="C219" t="str">
        <x:v>OC-2026-0218</x:v>
      </x:c>
      <x:c r="D219" t="str">
        <x:v>F-D004-202611-4103</x:v>
      </x:c>
      <x:c r="E219" t="str">
        <x:v>L2611-011-0218</x:v>
      </x:c>
      <x:c r="F219" t="str">
        <x:v>D004</x:v>
      </x:c>
      <x:c r="G219" s="32" t="str">
        <x:v>Distribuidora Salud Total</x:v>
      </x:c>
      <x:c r="H219" t="str">
        <x:v>MED011</x:v>
      </x:c>
      <x:c r="I219" s="32" t="str">
        <x:v>Jarabe antigripal</x:v>
      </x:c>
      <x:c r="J219" s="32" t="str">
        <x:v>Antigripales</x:v>
      </x:c>
      <x:c r="K219" s="32" t="str">
        <x:v>MEDICAMENTA</x:v>
      </x:c>
      <x:c r="L219" s="32" t="str">
        <x:v>Frasco 120 ml</x:v>
      </x:c>
      <x:c r="M219" s="28" t="n">
        <x:v>3</x:v>
      </x:c>
      <x:c r="N219" s="28" t="n">
        <x:v>24</x:v>
      </x:c>
      <x:c r="O219" s="28" t="n">
        <x:f>M219*N219</x:f>
        <x:v>72</x:v>
      </x:c>
      <x:c r="P219" s="24" t="n">
        <x:v>2.9</x:v>
      </x:c>
      <x:c r="Q219" s="26" t="n">
        <x:v>0.10327377046612841</x:v>
      </x:c>
      <x:c r="R219" s="24" t="n">
        <x:f>O219*P219*Q219</x:f>
        <x:v>21.56356327332761</x:v>
      </x:c>
      <x:c r="S219" s="24" t="n">
        <x:f>P219*(1-Q219)</x:f>
        <x:v>2.6005060656482275</x:v>
      </x:c>
      <x:c r="T219" s="24" t="n">
        <x:f>O219*S219</x:f>
        <x:v>187.23643672667237</x:v>
      </x:c>
      <x:c r="U219" t="str">
        <x:v>NORTE</x:v>
      </x:c>
      <x:c r="V219" t="str">
        <x:v>Farmacia Norte</x:v>
      </x:c>
      <x:c r="W219" t="str">
        <x:v>Zona Norte</x:v>
      </x:c>
      <x:c r="X219" t="str">
        <x:v>Quito</x:v>
      </x:c>
      <x:c r="Y219" s="32" t="str">
        <x:v>Av. 10 de Agosto N45-20</x:v>
      </x:c>
      <x:c r="Z219" s="22" t="n">
        <x:v>46358</x:v>
      </x:c>
      <x:c r="AA219" t="str">
        <x:v>Recibido</x:v>
      </x:c>
      <x:c r="AB219" t="str">
        <x:v>45 días crédito</x:v>
      </x:c>
      <x:c r="AC219" s="32" t="str"/>
    </x:row>
    <x:row r="220">
      <x:c r="A220" t="n">
        <x:v>219</x:v>
      </x:c>
      <x:c r="B220" s="22" t="n">
        <x:v>46349</x:v>
      </x:c>
      <x:c r="C220" t="str">
        <x:v>OC-2026-0219</x:v>
      </x:c>
      <x:c r="D220" t="str">
        <x:v>F-D006-202611-5867</x:v>
      </x:c>
      <x:c r="E220" t="str">
        <x:v>L2611-009-0219</x:v>
      </x:c>
      <x:c r="F220" t="str">
        <x:v>D006</x:v>
      </x:c>
      <x:c r="G220" s="32" t="str">
        <x:v>Insumos Médicos del Pacífico</x:v>
      </x:c>
      <x:c r="H220" t="str">
        <x:v>MED009</x:v>
      </x:c>
      <x:c r="I220" s="32" t="str">
        <x:v>Losartán 50 mg</x:v>
      </x:c>
      <x:c r="J220" s="32" t="str">
        <x:v>Cardiovasculares</x:v>
      </x:c>
      <x:c r="K220" s="32" t="str">
        <x:v>Laboratorios Bagó</x:v>
      </x:c>
      <x:c r="L220" s="32" t="str">
        <x:v>Caja x 30 tabletas</x:v>
      </x:c>
      <x:c r="M220" s="28" t="n">
        <x:v>3</x:v>
      </x:c>
      <x:c r="N220" s="28" t="n">
        <x:v>60</x:v>
      </x:c>
      <x:c r="O220" s="28" t="n">
        <x:f>M220*N220</x:f>
        <x:v>180</x:v>
      </x:c>
      <x:c r="P220" s="24" t="n">
        <x:v>3.5</x:v>
      </x:c>
      <x:c r="Q220" s="26" t="n">
        <x:v>0.1369291751939068</x:v>
      </x:c>
      <x:c r="R220" s="24" t="n">
        <x:f>O220*P220*Q220</x:f>
        <x:v>86.26538037216127</x:v>
      </x:c>
      <x:c r="S220" s="24" t="n">
        <x:f>P220*(1-Q220)</x:f>
        <x:v>3.0207478868213262</x:v>
      </x:c>
      <x:c r="T220" s="24" t="n">
        <x:f>O220*S220</x:f>
        <x:v>543.7346196278387</x:v>
      </x:c>
      <x:c r="U220" t="str">
        <x:v>VALLE</x:v>
      </x:c>
      <x:c r="V220" t="str">
        <x:v>Farmacia Valle de los Chillos</x:v>
      </x:c>
      <x:c r="W220" t="str">
        <x:v>Zona Valle</x:v>
      </x:c>
      <x:c r="X220" t="str">
        <x:v>Sangolquí</x:v>
      </x:c>
      <x:c r="Y220" s="32" t="str">
        <x:v>Av. Calderón 101</x:v>
      </x:c>
      <x:c r="Z220" s="22" t="n">
        <x:v>46351</x:v>
      </x:c>
      <x:c r="AA220" t="str">
        <x:v>Recibido</x:v>
      </x:c>
      <x:c r="AB220" t="str">
        <x:v>60 días crédito</x:v>
      </x:c>
      <x:c r="AC220" s="32" t="str">
        <x:v>Descuento por volumen</x:v>
      </x:c>
    </x:row>
    <x:row r="221">
      <x:c r="A221" t="n">
        <x:v>220</x:v>
      </x:c>
      <x:c r="B221" s="22" t="n">
        <x:v>46085</x:v>
      </x:c>
      <x:c r="C221" t="str">
        <x:v>OC-2026-0220</x:v>
      </x:c>
      <x:c r="D221" t="str">
        <x:v>F-D005-202603-2302</x:v>
      </x:c>
      <x:c r="E221" t="str">
        <x:v>L2603-006-0220</x:v>
      </x:c>
      <x:c r="F221" t="str">
        <x:v>D005</x:v>
      </x:c>
      <x:c r="G221" s="32" t="str">
        <x:v>PharmaExpress Quito</x:v>
      </x:c>
      <x:c r="H221" t="str">
        <x:v>MED006</x:v>
      </x:c>
      <x:c r="I221" s="32" t="str">
        <x:v>Vitamina C 1 g</x:v>
      </x:c>
      <x:c r="J221" s="32" t="str">
        <x:v>Vitaminas</x:v>
      </x:c>
      <x:c r="K221" s="32" t="str">
        <x:v>Novartis</x:v>
      </x:c>
      <x:c r="L221" s="32" t="str">
        <x:v>Tubo x 10 efervescentes</x:v>
      </x:c>
      <x:c r="M221" s="28" t="n">
        <x:v>2</x:v>
      </x:c>
      <x:c r="N221" s="28" t="n">
        <x:v>30</x:v>
      </x:c>
      <x:c r="O221" s="28" t="n">
        <x:f>M221*N221</x:f>
        <x:v>60</x:v>
      </x:c>
      <x:c r="P221" s="24" t="n">
        <x:v>2.59</x:v>
      </x:c>
      <x:c r="Q221" s="26" t="n">
        <x:v>0.10326557103226307</x:v>
      </x:c>
      <x:c r="R221" s="24" t="n">
        <x:f>O221*P221*Q221</x:f>
        <x:v>16.047469738413678</x:v>
      </x:c>
      <x:c r="S221" s="24" t="n">
        <x:f>P221*(1-Q221)</x:f>
        <x:v>2.3225421710264387</x:v>
      </x:c>
      <x:c r="T221" s="24" t="n">
        <x:f>O221*S221</x:f>
        <x:v>139.3525302615863</x:v>
      </x:c>
      <x:c r="U221" t="str">
        <x:v>NORTE</x:v>
      </x:c>
      <x:c r="V221" t="str">
        <x:v>Farmacia Norte</x:v>
      </x:c>
      <x:c r="W221" t="str">
        <x:v>Zona Norte</x:v>
      </x:c>
      <x:c r="X221" t="str">
        <x:v>Quito</x:v>
      </x:c>
      <x:c r="Y221" s="32" t="str">
        <x:v>Av. 10 de Agosto N45-20</x:v>
      </x:c>
      <x:c r="Z221" s="22" t="n">
        <x:v>46090</x:v>
      </x:c>
      <x:c r="AA221" t="str">
        <x:v>Recibido</x:v>
      </x:c>
      <x:c r="AB221" t="str">
        <x:v>30 días crédito</x:v>
      </x:c>
      <x:c r="AC221" s="32" t="str"/>
    </x:row>
    <x:row r="222">
      <x:c r="A222" t="n">
        <x:v>221</x:v>
      </x:c>
      <x:c r="B222" s="22" t="n">
        <x:v>46302</x:v>
      </x:c>
      <x:c r="C222" t="str">
        <x:v>OC-2026-0221</x:v>
      </x:c>
      <x:c r="D222" t="str">
        <x:v>F-D007-202610-6456</x:v>
      </x:c>
      <x:c r="E222" t="str">
        <x:v>L2610-006-0221</x:v>
      </x:c>
      <x:c r="F222" t="str">
        <x:v>D007</x:v>
      </x:c>
      <x:c r="G222" s="32" t="str">
        <x:v>Comercializadora BioFarma</x:v>
      </x:c>
      <x:c r="H222" t="str">
        <x:v>MED006</x:v>
      </x:c>
      <x:c r="I222" s="32" t="str">
        <x:v>Vitamina C 1 g</x:v>
      </x:c>
      <x:c r="J222" s="32" t="str">
        <x:v>Vitaminas</x:v>
      </x:c>
      <x:c r="K222" s="32" t="str">
        <x:v>Novartis</x:v>
      </x:c>
      <x:c r="L222" s="32" t="str">
        <x:v>Tubo x 10 efervescentes</x:v>
      </x:c>
      <x:c r="M222" s="28" t="n">
        <x:v>1</x:v>
      </x:c>
      <x:c r="N222" s="28" t="n">
        <x:v>60</x:v>
      </x:c>
      <x:c r="O222" s="28" t="n">
        <x:f>M222*N222</x:f>
        <x:v>60</x:v>
      </x:c>
      <x:c r="P222" s="24" t="n">
        <x:v>2.66</x:v>
      </x:c>
      <x:c r="Q222" s="26" t="n">
        <x:v>0.06645973734627517</x:v>
      </x:c>
      <x:c r="R222" s="24" t="n">
        <x:f>O222*P222*Q222</x:f>
        <x:v>10.606974080465518</x:v>
      </x:c>
      <x:c r="S222" s="24" t="n">
        <x:f>P222*(1-Q222)</x:f>
        <x:v>2.483217098658908</x:v>
      </x:c>
      <x:c r="T222" s="24" t="n">
        <x:f>O222*S222</x:f>
        <x:v>148.9930259195345</x:v>
      </x:c>
      <x:c r="U222" t="str">
        <x:v>CENTRO</x:v>
      </x:c>
      <x:c r="V222" t="str">
        <x:v>Farmacia Centro Histórico</x:v>
      </x:c>
      <x:c r="W222" t="str">
        <x:v>Zona Centro</x:v>
      </x:c>
      <x:c r="X222" t="str">
        <x:v>Quito</x:v>
      </x:c>
      <x:c r="Y222" s="32" t="str">
        <x:v>Guayaquil y Chile</x:v>
      </x:c>
      <x:c r="Z222" s="22" t="n">
        <x:v>46304</x:v>
      </x:c>
      <x:c r="AA222" t="str">
        <x:v>Recibido</x:v>
      </x:c>
      <x:c r="AB222" t="str">
        <x:v>15 días crédito</x:v>
      </x:c>
      <x:c r="AC222" s="32" t="str"/>
    </x:row>
    <x:row r="223">
      <x:c r="A223" t="n">
        <x:v>222</x:v>
      </x:c>
      <x:c r="B223" s="22" t="n">
        <x:v>45928</x:v>
      </x:c>
      <x:c r="C223" t="str">
        <x:v>OC-2025-0222</x:v>
      </x:c>
      <x:c r="D223" t="str">
        <x:v>F-D004-202509-4526</x:v>
      </x:c>
      <x:c r="E223" t="str">
        <x:v>L2509-009-0222</x:v>
      </x:c>
      <x:c r="F223" t="str">
        <x:v>D004</x:v>
      </x:c>
      <x:c r="G223" s="32" t="str">
        <x:v>Distribuidora Salud Total</x:v>
      </x:c>
      <x:c r="H223" t="str">
        <x:v>MED009</x:v>
      </x:c>
      <x:c r="I223" s="32" t="str">
        <x:v>Losartán 50 mg</x:v>
      </x:c>
      <x:c r="J223" s="32" t="str">
        <x:v>Cardiovasculares</x:v>
      </x:c>
      <x:c r="K223" s="32" t="str">
        <x:v>Laboratorios Bagó</x:v>
      </x:c>
      <x:c r="L223" s="32" t="str">
        <x:v>Caja x 30 tabletas</x:v>
      </x:c>
      <x:c r="M223" s="28" t="n">
        <x:v>2</x:v>
      </x:c>
      <x:c r="N223" s="28" t="n">
        <x:v>50</x:v>
      </x:c>
      <x:c r="O223" s="28" t="n">
        <x:f>M223*N223</x:f>
        <x:v>100</x:v>
      </x:c>
      <x:c r="P223" s="24" t="n">
        <x:v>2.74</x:v>
      </x:c>
      <x:c r="Q223" s="26" t="n">
        <x:v>0.12729434433011405</x:v>
      </x:c>
      <x:c r="R223" s="24" t="n">
        <x:f>O223*P223*Q223</x:f>
        <x:v>34.87865034645125</x:v>
      </x:c>
      <x:c r="S223" s="24" t="n">
        <x:f>P223*(1-Q223)</x:f>
        <x:v>2.391213496535488</x:v>
      </x:c>
      <x:c r="T223" s="24" t="n">
        <x:f>O223*S223</x:f>
        <x:v>239.12134965354878</x:v>
      </x:c>
      <x:c r="U223" t="str">
        <x:v>NORTE</x:v>
      </x:c>
      <x:c r="V223" t="str">
        <x:v>Farmacia Norte</x:v>
      </x:c>
      <x:c r="W223" t="str">
        <x:v>Zona Norte</x:v>
      </x:c>
      <x:c r="X223" t="str">
        <x:v>Quito</x:v>
      </x:c>
      <x:c r="Y223" s="32" t="str">
        <x:v>Av. 10 de Agosto N45-20</x:v>
      </x:c>
      <x:c r="Z223" s="22" t="n">
        <x:v>45929</x:v>
      </x:c>
      <x:c r="AA223" t="str">
        <x:v>Recibido</x:v>
      </x:c>
      <x:c r="AB223" t="str">
        <x:v>45 días crédito</x:v>
      </x:c>
      <x:c r="AC223" s="32" t="str"/>
    </x:row>
    <x:row r="224">
      <x:c r="A224" t="n">
        <x:v>223</x:v>
      </x:c>
      <x:c r="B224" s="22" t="n">
        <x:v>45780</x:v>
      </x:c>
      <x:c r="C224" t="str">
        <x:v>OC-2025-0223</x:v>
      </x:c>
      <x:c r="D224" t="str">
        <x:v>F-D005-202505-6244</x:v>
      </x:c>
      <x:c r="E224" t="str">
        <x:v>L2505-006-0223</x:v>
      </x:c>
      <x:c r="F224" t="str">
        <x:v>D005</x:v>
      </x:c>
      <x:c r="G224" s="32" t="str">
        <x:v>PharmaExpress Quito</x:v>
      </x:c>
      <x:c r="H224" t="str">
        <x:v>MED006</x:v>
      </x:c>
      <x:c r="I224" s="32" t="str">
        <x:v>Vitamina C 1 g</x:v>
      </x:c>
      <x:c r="J224" s="32" t="str">
        <x:v>Vitaminas</x:v>
      </x:c>
      <x:c r="K224" s="32" t="str">
        <x:v>Novartis</x:v>
      </x:c>
      <x:c r="L224" s="32" t="str">
        <x:v>Tubo x 10 efervescentes</x:v>
      </x:c>
      <x:c r="M224" s="28" t="n">
        <x:v>4</x:v>
      </x:c>
      <x:c r="N224" s="28" t="n">
        <x:v>60</x:v>
      </x:c>
      <x:c r="O224" s="28" t="n">
        <x:f>M224*N224</x:f>
        <x:v>240</x:v>
      </x:c>
      <x:c r="P224" s="24" t="n">
        <x:v>2.41</x:v>
      </x:c>
      <x:c r="Q224" s="26" t="n">
        <x:v>0.056992588354577975</x:v>
      </x:c>
      <x:c r="R224" s="24" t="n">
        <x:f>O224*P224*Q224</x:f>
        <x:v>32.9645131042879</x:v>
      </x:c>
      <x:c r="S224" s="24" t="n">
        <x:f>P224*(1-Q224)</x:f>
        <x:v>2.272647862065467</x:v>
      </x:c>
      <x:c r="T224" s="24" t="n">
        <x:f>O224*S224</x:f>
        <x:v>545.4354868957121</x:v>
      </x:c>
      <x:c r="U224" t="str">
        <x:v>SUR</x:v>
      </x:c>
      <x:c r="V224" t="str">
        <x:v>Farmacia del Sur</x:v>
      </x:c>
      <x:c r="W224" t="str">
        <x:v>Zona Sur</x:v>
      </x:c>
      <x:c r="X224" t="str">
        <x:v>Quito</x:v>
      </x:c>
      <x:c r="Y224" s="32" t="str">
        <x:v>Av. Maldonado S25-10</x:v>
      </x:c>
      <x:c r="Z224" s="22" t="n">
        <x:v>45781</x:v>
      </x:c>
      <x:c r="AA224" t="str">
        <x:v>Recibido</x:v>
      </x:c>
      <x:c r="AB224" t="str">
        <x:v>30 días crédito</x:v>
      </x:c>
      <x:c r="AC224" s="32" t="str">
        <x:v>Entrega coordinada fuera de horario regular</x:v>
      </x:c>
    </x:row>
    <x:row r="225">
      <x:c r="A225" t="n">
        <x:v>224</x:v>
      </x:c>
      <x:c r="B225" s="22" t="n">
        <x:v>45769</x:v>
      </x:c>
      <x:c r="C225" t="str">
        <x:v>OC-2025-0224</x:v>
      </x:c>
      <x:c r="D225" t="str">
        <x:v>F-D001-202504-9749</x:v>
      </x:c>
      <x:c r="E225" t="str">
        <x:v>L2504-005-0224</x:v>
      </x:c>
      <x:c r="F225" t="str">
        <x:v>D001</x:v>
      </x:c>
      <x:c r="G225" s="32" t="str">
        <x:v>DistriFarma Andina S.A.</x:v>
      </x:c>
      <x:c r="H225" t="str">
        <x:v>MED005</x:v>
      </x:c>
      <x:c r="I225" s="32" t="str">
        <x:v>Loratadina 10 mg</x:v>
      </x:c>
      <x:c r="J225" s="32" t="str">
        <x:v>Antigripales</x:v>
      </x:c>
      <x:c r="K225" s="32" t="str">
        <x:v>Genfar</x:v>
      </x:c>
      <x:c r="L225" s="32" t="str">
        <x:v>Caja x 10 tabletas</x:v>
      </x:c>
      <x:c r="M225" s="28" t="n">
        <x:v>72</x:v>
      </x:c>
      <x:c r="N225" s="28" t="n">
        <x:v>10</x:v>
      </x:c>
      <x:c r="O225" s="28" t="n">
        <x:f>M225*N225</x:f>
        <x:v>720</x:v>
      </x:c>
      <x:c r="P225" s="24" t="n">
        <x:v>0.92</x:v>
      </x:c>
      <x:c r="Q225" s="26" t="n">
        <x:v>0.09335780774499128</x:v>
      </x:c>
      <x:c r="R225" s="24" t="n">
        <x:f>O225*P225*Q225</x:f>
        <x:v>61.84021185028222</x:v>
      </x:c>
      <x:c r="S225" s="24" t="n">
        <x:f>P225*(1-Q225)</x:f>
        <x:v>0.8341108168746081</x:v>
      </x:c>
      <x:c r="T225" s="24" t="n">
        <x:f>O225*S225</x:f>
        <x:v>600.5597881497179</x:v>
      </x:c>
      <x:c r="U225" t="str">
        <x:v>CENTRO</x:v>
      </x:c>
      <x:c r="V225" t="str">
        <x:v>Farmacia Centro Histórico</x:v>
      </x:c>
      <x:c r="W225" t="str">
        <x:v>Zona Centro</x:v>
      </x:c>
      <x:c r="X225" t="str">
        <x:v>Quito</x:v>
      </x:c>
      <x:c r="Y225" s="32" t="str">
        <x:v>Guayaquil y Chile</x:v>
      </x:c>
      <x:c r="Z225" s="22" t="n">
        <x:v>45771</x:v>
      </x:c>
      <x:c r="AA225" t="str">
        <x:v>Recibido</x:v>
      </x:c>
      <x:c r="AB225" t="str">
        <x:v>30 días crédito</x:v>
      </x:c>
      <x:c r="AC225" s="32" t="str"/>
    </x:row>
    <x:row r="226">
      <x:c r="A226" t="n">
        <x:v>225</x:v>
      </x:c>
      <x:c r="B226" s="22" t="n">
        <x:v>46239</x:v>
      </x:c>
      <x:c r="C226" t="str">
        <x:v>OC-2026-0225</x:v>
      </x:c>
      <x:c r="D226" t="str">
        <x:v>F-D005-202608-4906</x:v>
      </x:c>
      <x:c r="E226" t="str">
        <x:v>L2608-010-0225</x:v>
      </x:c>
      <x:c r="F226" t="str">
        <x:v>D005</x:v>
      </x:c>
      <x:c r="G226" s="32" t="str">
        <x:v>PharmaExpress Quito</x:v>
      </x:c>
      <x:c r="H226" t="str">
        <x:v>MED010</x:v>
      </x:c>
      <x:c r="I226" s="32" t="str">
        <x:v>Aspirina 100 mg</x:v>
      </x:c>
      <x:c r="J226" s="32" t="str">
        <x:v>Cardiovasculares</x:v>
      </x:c>
      <x:c r="K226" s="32" t="str">
        <x:v>Bayer</x:v>
      </x:c>
      <x:c r="L226" s="32" t="str">
        <x:v>Caja x 30 tabletas</x:v>
      </x:c>
      <x:c r="M226" s="28" t="n">
        <x:v>60</x:v>
      </x:c>
      <x:c r="N226" s="28" t="n">
        <x:v>10</x:v>
      </x:c>
      <x:c r="O226" s="28" t="n">
        <x:f>M226*N226</x:f>
        <x:v>600</x:v>
      </x:c>
      <x:c r="P226" s="24" t="n">
        <x:v>1.75</x:v>
      </x:c>
      <x:c r="Q226" s="26" t="n">
        <x:v>0.08263905274164522</x:v>
      </x:c>
      <x:c r="R226" s="24" t="n">
        <x:f>O226*P226*Q226</x:f>
        <x:v>86.77100537872748</x:v>
      </x:c>
      <x:c r="S226" s="24" t="n">
        <x:f>P226*(1-Q226)</x:f>
        <x:v>1.605381657702121</x:v>
      </x:c>
      <x:c r="T226" s="24" t="n">
        <x:f>O226*S226</x:f>
        <x:v>963.2289946212726</x:v>
      </x:c>
      <x:c r="U226" t="str">
        <x:v>VALLE</x:v>
      </x:c>
      <x:c r="V226" t="str">
        <x:v>Farmacia Valle de los Chillos</x:v>
      </x:c>
      <x:c r="W226" t="str">
        <x:v>Zona Valle</x:v>
      </x:c>
      <x:c r="X226" t="str">
        <x:v>Sangolquí</x:v>
      </x:c>
      <x:c r="Y226" s="32" t="str">
        <x:v>Av. Calderón 101</x:v>
      </x:c>
      <x:c r="Z226" s="22" t="n">
        <x:v>46241</x:v>
      </x:c>
      <x:c r="AA226" t="str">
        <x:v>Recibido</x:v>
      </x:c>
      <x:c r="AB226" t="str">
        <x:v>30 días crédito</x:v>
      </x:c>
      <x:c r="AC226" s="32" t="str"/>
    </x:row>
    <x:row r="227">
      <x:c r="A227" t="n">
        <x:v>226</x:v>
      </x:c>
      <x:c r="B227" s="22" t="n">
        <x:v>46384</x:v>
      </x:c>
      <x:c r="C227" t="str">
        <x:v>OC-2026-0226</x:v>
      </x:c>
      <x:c r="D227" t="str">
        <x:v>F-D005-202612-8977</x:v>
      </x:c>
      <x:c r="E227" t="str">
        <x:v>L2612-012-0226</x:v>
      </x:c>
      <x:c r="F227" t="str">
        <x:v>D005</x:v>
      </x:c>
      <x:c r="G227" s="32" t="str">
        <x:v>PharmaExpress Quito</x:v>
      </x:c>
      <x:c r="H227" t="str">
        <x:v>MED012</x:v>
      </x:c>
      <x:c r="I227" s="32" t="str">
        <x:v>Multivitamínico adulto</x:v>
      </x:c>
      <x:c r="J227" s="32" t="str">
        <x:v>Vitaminas</x:v>
      </x:c>
      <x:c r="K227" s="32" t="str">
        <x:v>Novartis</x:v>
      </x:c>
      <x:c r="L227" s="32" t="str">
        <x:v>Frasco x 30 tabletas</x:v>
      </x:c>
      <x:c r="M227" s="28" t="n">
        <x:v>10</x:v>
      </x:c>
      <x:c r="N227" s="28" t="n">
        <x:v>60</x:v>
      </x:c>
      <x:c r="O227" s="28" t="n">
        <x:f>M227*N227</x:f>
        <x:v>600</x:v>
      </x:c>
      <x:c r="P227" s="24" t="n">
        <x:v>4.42</x:v>
      </x:c>
      <x:c r="Q227" s="26" t="n">
        <x:v>0.11456983476266137</x:v>
      </x:c>
      <x:c r="R227" s="24" t="n">
        <x:f>O227*P227*Q227</x:f>
        <x:v>303.839201790578</x:v>
      </x:c>
      <x:c r="S227" s="24" t="n">
        <x:f>P227*(1-Q227)</x:f>
        <x:v>3.913601330349037</x:v>
      </x:c>
      <x:c r="T227" s="24" t="n">
        <x:f>O227*S227</x:f>
        <x:v>2348.160798209422</x:v>
      </x:c>
      <x:c r="U227" t="str">
        <x:v>NORTE</x:v>
      </x:c>
      <x:c r="V227" t="str">
        <x:v>Farmacia Norte</x:v>
      </x:c>
      <x:c r="W227" t="str">
        <x:v>Zona Norte</x:v>
      </x:c>
      <x:c r="X227" t="str">
        <x:v>Quito</x:v>
      </x:c>
      <x:c r="Y227" s="32" t="str">
        <x:v>Av. 10 de Agosto N45-20</x:v>
      </x:c>
      <x:c r="Z227" s="22" t="n">
        <x:v>46386</x:v>
      </x:c>
      <x:c r="AA227" t="str">
        <x:v>Recibido</x:v>
      </x:c>
      <x:c r="AB227" t="str">
        <x:v>30 días crédito</x:v>
      </x:c>
      <x:c r="AC227" s="32" t="str"/>
    </x:row>
    <x:row r="228">
      <x:c r="A228" t="n">
        <x:v>227</x:v>
      </x:c>
      <x:c r="B228" s="22" t="n">
        <x:v>46083</x:v>
      </x:c>
      <x:c r="C228" t="str">
        <x:v>OC-2026-0227</x:v>
      </x:c>
      <x:c r="D228" t="str">
        <x:v>F-D004-202603-6262</x:v>
      </x:c>
      <x:c r="E228" t="str">
        <x:v>L2603-011-0227</x:v>
      </x:c>
      <x:c r="F228" t="str">
        <x:v>D004</x:v>
      </x:c>
      <x:c r="G228" s="32" t="str">
        <x:v>Distribuidora Salud Total</x:v>
      </x:c>
      <x:c r="H228" t="str">
        <x:v>MED011</x:v>
      </x:c>
      <x:c r="I228" s="32" t="str">
        <x:v>Jarabe antigripal</x:v>
      </x:c>
      <x:c r="J228" s="32" t="str">
        <x:v>Antigripales</x:v>
      </x:c>
      <x:c r="K228" s="32" t="str">
        <x:v>MEDICAMENTA</x:v>
      </x:c>
      <x:c r="L228" s="32" t="str">
        <x:v>Frasco 120 ml</x:v>
      </x:c>
      <x:c r="M228" s="28" t="n">
        <x:v>8</x:v>
      </x:c>
      <x:c r="N228" s="28" t="n">
        <x:v>24</x:v>
      </x:c>
      <x:c r="O228" s="28" t="n">
        <x:f>M228*N228</x:f>
        <x:v>192</x:v>
      </x:c>
      <x:c r="P228" s="24" t="n">
        <x:v>2.96</x:v>
      </x:c>
      <x:c r="Q228" s="26" t="n">
        <x:v>0.10019342527987345</x:v>
      </x:c>
      <x:c r="R228" s="24" t="n">
        <x:f>O228*P228*Q228</x:f>
        <x:v>56.94192745505767</x:v>
      </x:c>
      <x:c r="S228" s="24" t="n">
        <x:f>P228*(1-Q228)</x:f>
        <x:v>2.6634274611715747</x:v>
      </x:c>
      <x:c r="T228" s="24" t="n">
        <x:f>O228*S228</x:f>
        <x:v>511.37807254494237</x:v>
      </x:c>
      <x:c r="U228" t="str">
        <x:v>NORTE</x:v>
      </x:c>
      <x:c r="V228" t="str">
        <x:v>Farmacia Norte</x:v>
      </x:c>
      <x:c r="W228" t="str">
        <x:v>Zona Norte</x:v>
      </x:c>
      <x:c r="X228" t="str">
        <x:v>Quito</x:v>
      </x:c>
      <x:c r="Y228" s="32" t="str">
        <x:v>Av. 10 de Agosto N45-20</x:v>
      </x:c>
      <x:c r="Z228" s="22" t="n">
        <x:v>46086</x:v>
      </x:c>
      <x:c r="AA228" t="str">
        <x:v>Recibido</x:v>
      </x:c>
      <x:c r="AB228" t="str">
        <x:v>45 días crédito</x:v>
      </x:c>
      <x:c r="AC228" s="32" t="str"/>
    </x:row>
    <x:row r="229">
      <x:c r="A229" t="n">
        <x:v>228</x:v>
      </x:c>
      <x:c r="B229" s="22" t="n">
        <x:v>45662</x:v>
      </x:c>
      <x:c r="C229" t="str">
        <x:v>OC-2025-0228</x:v>
      </x:c>
      <x:c r="D229" t="str">
        <x:v>F-D006-202501-7882</x:v>
      </x:c>
      <x:c r="E229" t="str">
        <x:v>L2501-009-0228</x:v>
      </x:c>
      <x:c r="F229" t="str">
        <x:v>D006</x:v>
      </x:c>
      <x:c r="G229" s="32" t="str">
        <x:v>Insumos Médicos del Pacífico</x:v>
      </x:c>
      <x:c r="H229" t="str">
        <x:v>MED009</x:v>
      </x:c>
      <x:c r="I229" s="32" t="str">
        <x:v>Losartán 50 mg</x:v>
      </x:c>
      <x:c r="J229" s="32" t="str">
        <x:v>Cardiovasculares</x:v>
      </x:c>
      <x:c r="K229" s="32" t="str">
        <x:v>Laboratorios Bagó</x:v>
      </x:c>
      <x:c r="L229" s="32" t="str">
        <x:v>Caja x 30 tabletas</x:v>
      </x:c>
      <x:c r="M229" s="28" t="n">
        <x:v>3</x:v>
      </x:c>
      <x:c r="N229" s="28" t="n">
        <x:v>60</x:v>
      </x:c>
      <x:c r="O229" s="28" t="n">
        <x:f>M229*N229</x:f>
        <x:v>180</x:v>
      </x:c>
      <x:c r="P229" s="24" t="n">
        <x:v>3.22</x:v>
      </x:c>
      <x:c r="Q229" s="26" t="n">
        <x:v>0.10929405289600858</x:v>
      </x:c>
      <x:c r="R229" s="24" t="n">
        <x:f>O229*P229*Q229</x:f>
        <x:v>63.34683305852657</x:v>
      </x:c>
      <x:c r="S229" s="24" t="n">
        <x:f>P229*(1-Q229)</x:f>
        <x:v>2.8680731496748524</x:v>
      </x:c>
      <x:c r="T229" s="24" t="n">
        <x:f>O229*S229</x:f>
        <x:v>516.2531669414734</x:v>
      </x:c>
      <x:c r="U229" t="str">
        <x:v>SUR</x:v>
      </x:c>
      <x:c r="V229" t="str">
        <x:v>Farmacia del Sur</x:v>
      </x:c>
      <x:c r="W229" t="str">
        <x:v>Zona Sur</x:v>
      </x:c>
      <x:c r="X229" t="str">
        <x:v>Quito</x:v>
      </x:c>
      <x:c r="Y229" s="32" t="str">
        <x:v>Av. Maldonado S25-10</x:v>
      </x:c>
      <x:c r="Z229" s="22" t="n">
        <x:v>45664</x:v>
      </x:c>
      <x:c r="AA229" t="str">
        <x:v>Recibido</x:v>
      </x:c>
      <x:c r="AB229" t="str">
        <x:v>60 días crédito</x:v>
      </x:c>
      <x:c r="AC229" s="32" t="str"/>
    </x:row>
    <x:row r="230">
      <x:c r="A230" t="n">
        <x:v>229</x:v>
      </x:c>
      <x:c r="B230" s="22" t="n">
        <x:v>45946</x:v>
      </x:c>
      <x:c r="C230" t="str">
        <x:v>OC-2025-0229</x:v>
      </x:c>
      <x:c r="D230" t="str">
        <x:v>F-D008-202510-3869</x:v>
      </x:c>
      <x:c r="E230" t="str">
        <x:v>L2510-007-0229</x:v>
      </x:c>
      <x:c r="F230" t="str">
        <x:v>D008</x:v>
      </x:c>
      <x:c r="G230" s="32" t="str">
        <x:v>Mayorista MedicPlus</x:v>
      </x:c>
      <x:c r="H230" t="str">
        <x:v>MED007</x:v>
      </x:c>
      <x:c r="I230" s="32" t="str">
        <x:v>Omeprazol 20 mg</x:v>
      </x:c>
      <x:c r="J230" s="32" t="str">
        <x:v>Gastrointestinales</x:v>
      </x:c>
      <x:c r="K230" s="32" t="str">
        <x:v>La Santé</x:v>
      </x:c>
      <x:c r="L230" s="32" t="str">
        <x:v>Caja x 30 cápsulas</x:v>
      </x:c>
      <x:c r="M230" s="28" t="n">
        <x:v>15</x:v>
      </x:c>
      <x:c r="N230" s="28" t="n">
        <x:v>50</x:v>
      </x:c>
      <x:c r="O230" s="28" t="n">
        <x:f>M230*N230</x:f>
        <x:v>750</x:v>
      </x:c>
      <x:c r="P230" s="24" t="n">
        <x:v>2.76</x:v>
      </x:c>
      <x:c r="Q230" s="26" t="n">
        <x:v>0.09549814810800032</x:v>
      </x:c>
      <x:c r="R230" s="24" t="n">
        <x:f>O230*P230*Q230</x:f>
        <x:v>197.68116658356067</x:v>
      </x:c>
      <x:c r="S230" s="24" t="n">
        <x:f>P230*(1-Q230)</x:f>
        <x:v>2.496425111221919</x:v>
      </x:c>
      <x:c r="T230" s="24" t="n">
        <x:f>O230*S230</x:f>
        <x:v>1872.3188334164392</x:v>
      </x:c>
      <x:c r="U230" t="str">
        <x:v>VALLE</x:v>
      </x:c>
      <x:c r="V230" t="str">
        <x:v>Farmacia Valle de los Chillos</x:v>
      </x:c>
      <x:c r="W230" t="str">
        <x:v>Zona Valle</x:v>
      </x:c>
      <x:c r="X230" t="str">
        <x:v>Sangolquí</x:v>
      </x:c>
      <x:c r="Y230" s="32" t="str">
        <x:v>Av. Calderón 101</x:v>
      </x:c>
      <x:c r="Z230" s="22" t="n">
        <x:v>45948</x:v>
      </x:c>
      <x:c r="AA230" t="str">
        <x:v>Recibido</x:v>
      </x:c>
      <x:c r="AB230" t="str">
        <x:v>30 días crédito</x:v>
      </x:c>
      <x:c r="AC230" s="32" t="str">
        <x:v>Entrega coordinada fuera de horario regular</x:v>
      </x:c>
    </x:row>
    <x:row r="231">
      <x:c r="A231" t="n">
        <x:v>230</x:v>
      </x:c>
      <x:c r="B231" s="22" t="n">
        <x:v>46344</x:v>
      </x:c>
      <x:c r="C231" t="str">
        <x:v>OC-2026-0230</x:v>
      </x:c>
      <x:c r="D231" t="str">
        <x:v>F-D007-202611-5462</x:v>
      </x:c>
      <x:c r="E231" t="str">
        <x:v>L2611-011-0230</x:v>
      </x:c>
      <x:c r="F231" t="str">
        <x:v>D007</x:v>
      </x:c>
      <x:c r="G231" s="32" t="str">
        <x:v>Comercializadora BioFarma</x:v>
      </x:c>
      <x:c r="H231" t="str">
        <x:v>MED011</x:v>
      </x:c>
      <x:c r="I231" s="32" t="str">
        <x:v>Jarabe antigripal</x:v>
      </x:c>
      <x:c r="J231" s="32" t="str">
        <x:v>Antigripales</x:v>
      </x:c>
      <x:c r="K231" s="32" t="str">
        <x:v>MEDICAMENTA</x:v>
      </x:c>
      <x:c r="L231" s="32" t="str">
        <x:v>Frasco 120 ml</x:v>
      </x:c>
      <x:c r="M231" s="28" t="n">
        <x:v>8</x:v>
      </x:c>
      <x:c r="N231" s="28" t="n">
        <x:v>50</x:v>
      </x:c>
      <x:c r="O231" s="28" t="n">
        <x:f>M231*N231</x:f>
        <x:v>400</x:v>
      </x:c>
      <x:c r="P231" s="24" t="n">
        <x:v>2.67</x:v>
      </x:c>
      <x:c r="Q231" s="26" t="n">
        <x:v>0.060461330819233244</x:v>
      </x:c>
      <x:c r="R231" s="24" t="n">
        <x:f>O231*P231*Q231</x:f>
        <x:v>64.5727013149411</x:v>
      </x:c>
      <x:c r="S231" s="24" t="n">
        <x:f>P231*(1-Q231)</x:f>
        <x:v>2.508568246712647</x:v>
      </x:c>
      <x:c r="T231" s="24" t="n">
        <x:f>O231*S231</x:f>
        <x:v>1003.4272986850589</x:v>
      </x:c>
      <x:c r="U231" t="str">
        <x:v>NORTE</x:v>
      </x:c>
      <x:c r="V231" t="str">
        <x:v>Farmacia Norte</x:v>
      </x:c>
      <x:c r="W231" t="str">
        <x:v>Zona Norte</x:v>
      </x:c>
      <x:c r="X231" t="str">
        <x:v>Quito</x:v>
      </x:c>
      <x:c r="Y231" s="32" t="str">
        <x:v>Av. 10 de Agosto N45-20</x:v>
      </x:c>
      <x:c r="Z231" s="22" t="n">
        <x:v>46347</x:v>
      </x:c>
      <x:c r="AA231" t="str">
        <x:v>Recibido</x:v>
      </x:c>
      <x:c r="AB231" t="str">
        <x:v>15 días crédito</x:v>
      </x:c>
      <x:c r="AC231" s="32" t="str">
        <x:v>Entrega coordinada fuera de horario regular</x:v>
      </x:c>
    </x:row>
    <x:row r="232">
      <x:c r="A232" t="n">
        <x:v>231</x:v>
      </x:c>
      <x:c r="B232" s="22" t="n">
        <x:v>45721</x:v>
      </x:c>
      <x:c r="C232" t="str">
        <x:v>OC-2025-0231</x:v>
      </x:c>
      <x:c r="D232" t="str">
        <x:v>F-D005-202503-4559</x:v>
      </x:c>
      <x:c r="E232" t="str">
        <x:v>L2503-012-0231</x:v>
      </x:c>
      <x:c r="F232" t="str">
        <x:v>D005</x:v>
      </x:c>
      <x:c r="G232" s="32" t="str">
        <x:v>PharmaExpress Quito</x:v>
      </x:c>
      <x:c r="H232" t="str">
        <x:v>MED012</x:v>
      </x:c>
      <x:c r="I232" s="32" t="str">
        <x:v>Multivitamínico adulto</x:v>
      </x:c>
      <x:c r="J232" s="32" t="str">
        <x:v>Vitaminas</x:v>
      </x:c>
      <x:c r="K232" s="32" t="str">
        <x:v>Novartis</x:v>
      </x:c>
      <x:c r="L232" s="32" t="str">
        <x:v>Frasco x 30 tabletas</x:v>
      </x:c>
      <x:c r="M232" s="28" t="n">
        <x:v>13</x:v>
      </x:c>
      <x:c r="N232" s="28" t="n">
        <x:v>24</x:v>
      </x:c>
      <x:c r="O232" s="28" t="n">
        <x:f>M232*N232</x:f>
        <x:v>312</x:v>
      </x:c>
      <x:c r="P232" s="24" t="n">
        <x:v>4.06</x:v>
      </x:c>
      <x:c r="Q232" s="26" t="n">
        <x:v>0.07752924425321427</x:v>
      </x:c>
      <x:c r="R232" s="24" t="n">
        <x:f>O232*P232*Q232</x:f>
        <x:v>98.20784428043156</x:v>
      </x:c>
      <x:c r="S232" s="24" t="n">
        <x:f>P232*(1-Q232)</x:f>
        <x:v>3.7452312683319495</x:v>
      </x:c>
      <x:c r="T232" s="24" t="n">
        <x:f>O232*S232</x:f>
        <x:v>1168.5121557195682</x:v>
      </x:c>
      <x:c r="U232" t="str">
        <x:v>NORTE</x:v>
      </x:c>
      <x:c r="V232" t="str">
        <x:v>Farmacia Norte</x:v>
      </x:c>
      <x:c r="W232" t="str">
        <x:v>Zona Norte</x:v>
      </x:c>
      <x:c r="X232" t="str">
        <x:v>Quito</x:v>
      </x:c>
      <x:c r="Y232" s="32" t="str">
        <x:v>Av. 10 de Agosto N45-20</x:v>
      </x:c>
      <x:c r="Z232" s="22" t="n">
        <x:v>45722</x:v>
      </x:c>
      <x:c r="AA232" t="str">
        <x:v>Recibido</x:v>
      </x:c>
      <x:c r="AB232" t="str">
        <x:v>30 días crédito</x:v>
      </x:c>
      <x:c r="AC232" s="32" t="str"/>
    </x:row>
    <x:row r="233">
      <x:c r="A233" t="n">
        <x:v>232</x:v>
      </x:c>
      <x:c r="B233" s="22" t="n">
        <x:v>46032</x:v>
      </x:c>
      <x:c r="C233" t="str">
        <x:v>OC-2026-0232</x:v>
      </x:c>
      <x:c r="D233" t="str">
        <x:v>F-D003-202601-8914</x:v>
      </x:c>
      <x:c r="E233" t="str">
        <x:v>L2601-005-0232</x:v>
      </x:c>
      <x:c r="F233" t="str">
        <x:v>D003</x:v>
      </x:c>
      <x:c r="G233" s="32" t="str">
        <x:v>FarmaLogística Sierra</x:v>
      </x:c>
      <x:c r="H233" t="str">
        <x:v>MED005</x:v>
      </x:c>
      <x:c r="I233" s="32" t="str">
        <x:v>Loratadina 10 mg</x:v>
      </x:c>
      <x:c r="J233" s="32" t="str">
        <x:v>Antigripales</x:v>
      </x:c>
      <x:c r="K233" s="32" t="str">
        <x:v>Genfar</x:v>
      </x:c>
      <x:c r="L233" s="32" t="str">
        <x:v>Caja x 10 tabletas</x:v>
      </x:c>
      <x:c r="M233" s="28" t="n">
        <x:v>12</x:v>
      </x:c>
      <x:c r="N233" s="28" t="n">
        <x:v>60</x:v>
      </x:c>
      <x:c r="O233" s="28" t="n">
        <x:f>M233*N233</x:f>
        <x:v>720</x:v>
      </x:c>
      <x:c r="P233" s="24" t="n">
        <x:v>1.16</x:v>
      </x:c>
      <x:c r="Q233" s="26" t="n">
        <x:v>0.05798426894785877</x:v>
      </x:c>
      <x:c r="R233" s="24" t="n">
        <x:f>O233*P233*Q233</x:f>
        <x:v>48.42846142525164</x:v>
      </x:c>
      <x:c r="S233" s="24" t="n">
        <x:f>P233*(1-Q233)</x:f>
        <x:v>1.0927382480204837</x:v>
      </x:c>
      <x:c r="T233" s="24" t="n">
        <x:f>O233*S233</x:f>
        <x:v>786.7715385747482</x:v>
      </x:c>
      <x:c r="U233" t="str">
        <x:v>VALLE</x:v>
      </x:c>
      <x:c r="V233" t="str">
        <x:v>Farmacia Valle de los Chillos</x:v>
      </x:c>
      <x:c r="W233" t="str">
        <x:v>Zona Valle</x:v>
      </x:c>
      <x:c r="X233" t="str">
        <x:v>Sangolquí</x:v>
      </x:c>
      <x:c r="Y233" s="32" t="str">
        <x:v>Av. Calderón 101</x:v>
      </x:c>
      <x:c r="Z233" s="22" t="n">
        <x:v>46033</x:v>
      </x:c>
      <x:c r="AA233" t="str">
        <x:v>Recibido</x:v>
      </x:c>
      <x:c r="AB233" t="str">
        <x:v>Contado contra entrega</x:v>
      </x:c>
      <x:c r="AC233" s="32" t="str">
        <x:v>Entrega coordinada fuera de horario regular</x:v>
      </x:c>
    </x:row>
    <x:row r="234">
      <x:c r="A234" t="n">
        <x:v>233</x:v>
      </x:c>
      <x:c r="B234" s="22" t="n">
        <x:v>46125</x:v>
      </x:c>
      <x:c r="C234" t="str">
        <x:v>OC-2026-0233</x:v>
      </x:c>
      <x:c r="D234" t="str">
        <x:v>F-D008-202604-8544</x:v>
      </x:c>
      <x:c r="E234" t="str">
        <x:v>L2604-005-0233</x:v>
      </x:c>
      <x:c r="F234" t="str">
        <x:v>D008</x:v>
      </x:c>
      <x:c r="G234" s="32" t="str">
        <x:v>Mayorista MedicPlus</x:v>
      </x:c>
      <x:c r="H234" t="str">
        <x:v>MED005</x:v>
      </x:c>
      <x:c r="I234" s="32" t="str">
        <x:v>Loratadina 10 mg</x:v>
      </x:c>
      <x:c r="J234" s="32" t="str">
        <x:v>Antigripales</x:v>
      </x:c>
      <x:c r="K234" s="32" t="str">
        <x:v>Genfar</x:v>
      </x:c>
      <x:c r="L234" s="32" t="str">
        <x:v>Caja x 10 tabletas</x:v>
      </x:c>
      <x:c r="M234" s="28" t="n">
        <x:v>72</x:v>
      </x:c>
      <x:c r="N234" s="28" t="n">
        <x:v>10</x:v>
      </x:c>
      <x:c r="O234" s="28" t="n">
        <x:f>M234*N234</x:f>
        <x:v>720</x:v>
      </x:c>
      <x:c r="P234" s="24" t="n">
        <x:v>1.05</x:v>
      </x:c>
      <x:c r="Q234" s="26" t="n">
        <x:v>0.12365911299030459</x:v>
      </x:c>
      <x:c r="R234" s="24" t="n">
        <x:f>O234*P234*Q234</x:f>
        <x:v>93.48628942067027</x:v>
      </x:c>
      <x:c r="S234" s="24" t="n">
        <x:f>P234*(1-Q234)</x:f>
        <x:v>0.9201579313601802</x:v>
      </x:c>
      <x:c r="T234" s="24" t="n">
        <x:f>O234*S234</x:f>
        <x:v>662.5137105793298</x:v>
      </x:c>
      <x:c r="U234" t="str">
        <x:v>CENTRO</x:v>
      </x:c>
      <x:c r="V234" t="str">
        <x:v>Farmacia Centro Histórico</x:v>
      </x:c>
      <x:c r="W234" t="str">
        <x:v>Zona Centro</x:v>
      </x:c>
      <x:c r="X234" t="str">
        <x:v>Quito</x:v>
      </x:c>
      <x:c r="Y234" s="32" t="str">
        <x:v>Guayaquil y Chile</x:v>
      </x:c>
      <x:c r="Z234" s="22" t="n">
        <x:v>46128</x:v>
      </x:c>
      <x:c r="AA234" t="str">
        <x:v>Recibido</x:v>
      </x:c>
      <x:c r="AB234" t="str">
        <x:v>30 días crédito</x:v>
      </x:c>
      <x:c r="AC234" s="32" t="str"/>
    </x:row>
    <x:row r="235">
      <x:c r="A235" t="n">
        <x:v>234</x:v>
      </x:c>
      <x:c r="B235" s="22" t="n">
        <x:v>46016</x:v>
      </x:c>
      <x:c r="C235" t="str">
        <x:v>OC-2025-0234</x:v>
      </x:c>
      <x:c r="D235" t="str">
        <x:v>F-D007-202512-9460</x:v>
      </x:c>
      <x:c r="E235" t="str">
        <x:v>L2512-014-0234</x:v>
      </x:c>
      <x:c r="F235" t="str">
        <x:v>D007</x:v>
      </x:c>
      <x:c r="G235" s="32" t="str">
        <x:v>Comercializadora BioFarma</x:v>
      </x:c>
      <x:c r="H235" t="str">
        <x:v>MED014</x:v>
      </x:c>
      <x:c r="I235" s="32" t="str">
        <x:v>Crema antimicótica</x:v>
      </x:c>
      <x:c r="J235" s="32" t="str">
        <x:v>Dermatológicos</x:v>
      </x:c>
      <x:c r="K235" s="32" t="str">
        <x:v>Acromax</x:v>
      </x:c>
      <x:c r="L235" s="32" t="str">
        <x:v>Tubo 30 g</x:v>
      </x:c>
      <x:c r="M235" s="28" t="n">
        <x:v>8</x:v>
      </x:c>
      <x:c r="N235" s="28" t="n">
        <x:v>30</x:v>
      </x:c>
      <x:c r="O235" s="28" t="n">
        <x:f>M235*N235</x:f>
        <x:v>240</x:v>
      </x:c>
      <x:c r="P235" s="24" t="n">
        <x:v>2.2</x:v>
      </x:c>
      <x:c r="Q235" s="26" t="n">
        <x:v>0.07257834726557669</x:v>
      </x:c>
      <x:c r="R235" s="24" t="n">
        <x:f>O235*P235*Q235</x:f>
        <x:v>38.32136735622449</x:v>
      </x:c>
      <x:c r="S235" s="24" t="n">
        <x:f>P235*(1-Q235)</x:f>
        <x:v>2.0403276360157316</x:v>
      </x:c>
      <x:c r="T235" s="24" t="n">
        <x:f>O235*S235</x:f>
        <x:v>489.6786326437756</x:v>
      </x:c>
      <x:c r="U235" t="str">
        <x:v>NORTE</x:v>
      </x:c>
      <x:c r="V235" t="str">
        <x:v>Farmacia Norte</x:v>
      </x:c>
      <x:c r="W235" t="str">
        <x:v>Zona Norte</x:v>
      </x:c>
      <x:c r="X235" t="str">
        <x:v>Quito</x:v>
      </x:c>
      <x:c r="Y235" s="32" t="str">
        <x:v>Av. 10 de Agosto N45-20</x:v>
      </x:c>
      <x:c r="Z235" s="22" t="n">
        <x:v>46017</x:v>
      </x:c>
      <x:c r="AA235" t="str">
        <x:v>Recibido</x:v>
      </x:c>
      <x:c r="AB235" t="str">
        <x:v>15 días crédito</x:v>
      </x:c>
      <x:c r="AC235" s="32" t="str"/>
    </x:row>
    <x:row r="236">
      <x:c r="A236" t="n">
        <x:v>235</x:v>
      </x:c>
      <x:c r="B236" s="22" t="n">
        <x:v>45753</x:v>
      </x:c>
      <x:c r="C236" t="str">
        <x:v>OC-2025-0235</x:v>
      </x:c>
      <x:c r="D236" t="str">
        <x:v>F-D005-202504-2604</x:v>
      </x:c>
      <x:c r="E236" t="str">
        <x:v>L2504-012-0235</x:v>
      </x:c>
      <x:c r="F236" t="str">
        <x:v>D005</x:v>
      </x:c>
      <x:c r="G236" s="32" t="str">
        <x:v>PharmaExpress Quito</x:v>
      </x:c>
      <x:c r="H236" t="str">
        <x:v>MED012</x:v>
      </x:c>
      <x:c r="I236" s="32" t="str">
        <x:v>Multivitamínico adulto</x:v>
      </x:c>
      <x:c r="J236" s="32" t="str">
        <x:v>Vitaminas</x:v>
      </x:c>
      <x:c r="K236" s="32" t="str">
        <x:v>Novartis</x:v>
      </x:c>
      <x:c r="L236" s="32" t="str">
        <x:v>Frasco x 30 tabletas</x:v>
      </x:c>
      <x:c r="M236" s="28" t="n">
        <x:v>24</x:v>
      </x:c>
      <x:c r="N236" s="28" t="n">
        <x:v>20</x:v>
      </x:c>
      <x:c r="O236" s="28" t="n">
        <x:f>M236*N236</x:f>
        <x:v>480</x:v>
      </x:c>
      <x:c r="P236" s="24" t="n">
        <x:v>4.45</x:v>
      </x:c>
      <x:c r="Q236" s="26" t="n">
        <x:v>0.07693739489912158</x:v>
      </x:c>
      <x:c r="R236" s="24" t="n">
        <x:f>O236*P236*Q236</x:f>
        <x:v>164.3382755045237</x:v>
      </x:c>
      <x:c r="S236" s="24" t="n">
        <x:f>P236*(1-Q236)</x:f>
        <x:v>4.10762859269891</x:v>
      </x:c>
      <x:c r="T236" s="24" t="n">
        <x:f>O236*S236</x:f>
        <x:v>1971.6617244954766</x:v>
      </x:c>
      <x:c r="U236" t="str">
        <x:v>NORTE</x:v>
      </x:c>
      <x:c r="V236" t="str">
        <x:v>Farmacia Norte</x:v>
      </x:c>
      <x:c r="W236" t="str">
        <x:v>Zona Norte</x:v>
      </x:c>
      <x:c r="X236" t="str">
        <x:v>Quito</x:v>
      </x:c>
      <x:c r="Y236" s="32" t="str">
        <x:v>Av. 10 de Agosto N45-20</x:v>
      </x:c>
      <x:c r="Z236" s="22" t="n">
        <x:v>45754</x:v>
      </x:c>
      <x:c r="AA236" t="str">
        <x:v>Recibido</x:v>
      </x:c>
      <x:c r="AB236" t="str">
        <x:v>30 días crédito</x:v>
      </x:c>
      <x:c r="AC236" s="32" t="str"/>
    </x:row>
    <x:row r="237">
      <x:c r="A237" t="n">
        <x:v>236</x:v>
      </x:c>
      <x:c r="B237" s="22" t="n">
        <x:v>46284</x:v>
      </x:c>
      <x:c r="C237" t="str">
        <x:v>OC-2026-0236</x:v>
      </x:c>
      <x:c r="D237" t="str">
        <x:v>F-D002-202609-9680</x:v>
      </x:c>
      <x:c r="E237" t="str">
        <x:v>L2609-010-0236</x:v>
      </x:c>
      <x:c r="F237" t="str">
        <x:v>D002</x:v>
      </x:c>
      <x:c r="G237" s="32" t="str">
        <x:v>MedSupply Ecuador Cía. Ltda.</x:v>
      </x:c>
      <x:c r="H237" t="str">
        <x:v>MED010</x:v>
      </x:c>
      <x:c r="I237" s="32" t="str">
        <x:v>Aspirina 100 mg</x:v>
      </x:c>
      <x:c r="J237" s="32" t="str">
        <x:v>Cardiovasculares</x:v>
      </x:c>
      <x:c r="K237" s="32" t="str">
        <x:v>Bayer</x:v>
      </x:c>
      <x:c r="L237" s="32" t="str">
        <x:v>Caja x 30 tabletas</x:v>
      </x:c>
      <x:c r="M237" s="28" t="n">
        <x:v>24</x:v>
      </x:c>
      <x:c r="N237" s="28" t="n">
        <x:v>20</x:v>
      </x:c>
      <x:c r="O237" s="28" t="n">
        <x:f>M237*N237</x:f>
        <x:v>480</x:v>
      </x:c>
      <x:c r="P237" s="24" t="n">
        <x:v>1.72</x:v>
      </x:c>
      <x:c r="Q237" s="26" t="n">
        <x:v>0.05483857746704438</x:v>
      </x:c>
      <x:c r="R237" s="24" t="n">
        <x:f>O237*P237*Q237</x:f>
        <x:v>45.27472955679184</x:v>
      </x:c>
      <x:c r="S237" s="24" t="n">
        <x:f>P237*(1-Q237)</x:f>
        <x:v>1.6256776467566838</x:v>
      </x:c>
      <x:c r="T237" s="24" t="n">
        <x:f>O237*S237</x:f>
        <x:v>780.3252704432082</x:v>
      </x:c>
      <x:c r="U237" t="str">
        <x:v>NORTE</x:v>
      </x:c>
      <x:c r="V237" t="str">
        <x:v>Farmacia Norte</x:v>
      </x:c>
      <x:c r="W237" t="str">
        <x:v>Zona Norte</x:v>
      </x:c>
      <x:c r="X237" t="str">
        <x:v>Quito</x:v>
      </x:c>
      <x:c r="Y237" s="32" t="str">
        <x:v>Av. 10 de Agosto N45-20</x:v>
      </x:c>
      <x:c r="Z237" s="22" t="n">
        <x:v>46286</x:v>
      </x:c>
      <x:c r="AA237" t="str">
        <x:v>Recibido</x:v>
      </x:c>
      <x:c r="AB237" t="str">
        <x:v>15 días crédito</x:v>
      </x:c>
      <x:c r="AC237" s="32" t="str"/>
    </x:row>
    <x:row r="238">
      <x:c r="A238" t="n">
        <x:v>237</x:v>
      </x:c>
      <x:c r="B238" s="22" t="n">
        <x:v>45693</x:v>
      </x:c>
      <x:c r="C238" t="str">
        <x:v>OC-2025-0237</x:v>
      </x:c>
      <x:c r="D238" t="str">
        <x:v>F-D006-202502-3946</x:v>
      </x:c>
      <x:c r="E238" t="str">
        <x:v>L2502-007-0237</x:v>
      </x:c>
      <x:c r="F238" t="str">
        <x:v>D006</x:v>
      </x:c>
      <x:c r="G238" s="32" t="str">
        <x:v>Insumos Médicos del Pacífico</x:v>
      </x:c>
      <x:c r="H238" t="str">
        <x:v>MED007</x:v>
      </x:c>
      <x:c r="I238" s="32" t="str">
        <x:v>Omeprazol 20 mg</x:v>
      </x:c>
      <x:c r="J238" s="32" t="str">
        <x:v>Gastrointestinales</x:v>
      </x:c>
      <x:c r="K238" s="32" t="str">
        <x:v>La Santé</x:v>
      </x:c>
      <x:c r="L238" s="32" t="str">
        <x:v>Caja x 30 cápsulas</x:v>
      </x:c>
      <x:c r="M238" s="28" t="n">
        <x:v>12</x:v>
      </x:c>
      <x:c r="N238" s="28" t="n">
        <x:v>30</x:v>
      </x:c>
      <x:c r="O238" s="28" t="n">
        <x:f>M238*N238</x:f>
        <x:v>360</x:v>
      </x:c>
      <x:c r="P238" s="24" t="n">
        <x:v>2.9</x:v>
      </x:c>
      <x:c r="Q238" s="26" t="n">
        <x:v>0.12151830025498293</x:v>
      </x:c>
      <x:c r="R238" s="24" t="n">
        <x:f>O238*P238*Q238</x:f>
        <x:v>126.86510546620218</x:v>
      </x:c>
      <x:c r="S238" s="24" t="n">
        <x:f>P238*(1-Q238)</x:f>
        <x:v>2.5475969292605494</x:v>
      </x:c>
      <x:c r="T238" s="24" t="n">
        <x:f>O238*S238</x:f>
        <x:v>917.1348945337978</x:v>
      </x:c>
      <x:c r="U238" t="str">
        <x:v>SUR</x:v>
      </x:c>
      <x:c r="V238" t="str">
        <x:v>Farmacia del Sur</x:v>
      </x:c>
      <x:c r="W238" t="str">
        <x:v>Zona Sur</x:v>
      </x:c>
      <x:c r="X238" t="str">
        <x:v>Quito</x:v>
      </x:c>
      <x:c r="Y238" s="32" t="str">
        <x:v>Av. Maldonado S25-10</x:v>
      </x:c>
      <x:c r="Z238" s="22" t="n">
        <x:v>45695</x:v>
      </x:c>
      <x:c r="AA238" t="str">
        <x:v>Recibido</x:v>
      </x:c>
      <x:c r="AB238" t="str">
        <x:v>60 días crédito</x:v>
      </x:c>
      <x:c r="AC238" s="32" t="str"/>
    </x:row>
    <x:row r="239">
      <x:c r="A239" t="n">
        <x:v>238</x:v>
      </x:c>
      <x:c r="B239" s="22" t="n">
        <x:v>45875</x:v>
      </x:c>
      <x:c r="C239" t="str">
        <x:v>OC-2025-0238</x:v>
      </x:c>
      <x:c r="D239" t="str">
        <x:v>F-D002-202508-9363</x:v>
      </x:c>
      <x:c r="E239" t="str">
        <x:v>L2508-006-0238</x:v>
      </x:c>
      <x:c r="F239" t="str">
        <x:v>D002</x:v>
      </x:c>
      <x:c r="G239" s="32" t="str">
        <x:v>MedSupply Ecuador Cía. Ltda.</x:v>
      </x:c>
      <x:c r="H239" t="str">
        <x:v>MED006</x:v>
      </x:c>
      <x:c r="I239" s="32" t="str">
        <x:v>Vitamina C 1 g</x:v>
      </x:c>
      <x:c r="J239" s="32" t="str">
        <x:v>Vitaminas</x:v>
      </x:c>
      <x:c r="K239" s="32" t="str">
        <x:v>Novartis</x:v>
      </x:c>
      <x:c r="L239" s="32" t="str">
        <x:v>Tubo x 10 efervescentes</x:v>
      </x:c>
      <x:c r="M239" s="28" t="n">
        <x:v>3</x:v>
      </x:c>
      <x:c r="N239" s="28" t="n">
        <x:v>50</x:v>
      </x:c>
      <x:c r="O239" s="28" t="n">
        <x:f>M239*N239</x:f>
        <x:v>150</x:v>
      </x:c>
      <x:c r="P239" s="24" t="n">
        <x:v>2.21</x:v>
      </x:c>
      <x:c r="Q239" s="26" t="n">
        <x:v>0.03699579441287896</x:v>
      </x:c>
      <x:c r="R239" s="24" t="n">
        <x:f>O239*P239*Q239</x:f>
        <x:v>12.264105847869375</x:v>
      </x:c>
      <x:c r="S239" s="24" t="n">
        <x:f>P239*(1-Q239)</x:f>
        <x:v>2.1282392943475377</x:v>
      </x:c>
      <x:c r="T239" s="24" t="n">
        <x:f>O239*S239</x:f>
        <x:v>319.23589415213064</x:v>
      </x:c>
      <x:c r="U239" t="str">
        <x:v>VALLE</x:v>
      </x:c>
      <x:c r="V239" t="str">
        <x:v>Farmacia Valle de los Chillos</x:v>
      </x:c>
      <x:c r="W239" t="str">
        <x:v>Zona Valle</x:v>
      </x:c>
      <x:c r="X239" t="str">
        <x:v>Sangolquí</x:v>
      </x:c>
      <x:c r="Y239" s="32" t="str">
        <x:v>Av. Calderón 101</x:v>
      </x:c>
      <x:c r="Z239" s="22" t="n">
        <x:v>45879</x:v>
      </x:c>
      <x:c r="AA239" t="str">
        <x:v>Recibido</x:v>
      </x:c>
      <x:c r="AB239" t="str">
        <x:v>15 días crédito</x:v>
      </x:c>
      <x:c r="AC239" s="32" t="str">
        <x:v>Entrega coordinada fuera de horario regular</x:v>
      </x:c>
    </x:row>
    <x:row r="240">
      <x:c r="A240" t="n">
        <x:v>239</x:v>
      </x:c>
      <x:c r="B240" s="22" t="n">
        <x:v>46094</x:v>
      </x:c>
      <x:c r="C240" t="str">
        <x:v>OC-2026-0239</x:v>
      </x:c>
      <x:c r="D240" t="str">
        <x:v>F-D006-202603-2922</x:v>
      </x:c>
      <x:c r="E240" t="str">
        <x:v>L2603-009-0239</x:v>
      </x:c>
      <x:c r="F240" t="str">
        <x:v>D006</x:v>
      </x:c>
      <x:c r="G240" s="32" t="str">
        <x:v>Insumos Médicos del Pacífico</x:v>
      </x:c>
      <x:c r="H240" t="str">
        <x:v>MED009</x:v>
      </x:c>
      <x:c r="I240" s="32" t="str">
        <x:v>Losartán 50 mg</x:v>
      </x:c>
      <x:c r="J240" s="32" t="str">
        <x:v>Cardiovasculares</x:v>
      </x:c>
      <x:c r="K240" s="32" t="str">
        <x:v>Laboratorios Bagó</x:v>
      </x:c>
      <x:c r="L240" s="32" t="str">
        <x:v>Caja x 30 tabletas</x:v>
      </x:c>
      <x:c r="M240" s="28" t="n">
        <x:v>15</x:v>
      </x:c>
      <x:c r="N240" s="28" t="n">
        <x:v>24</x:v>
      </x:c>
      <x:c r="O240" s="28" t="n">
        <x:f>M240*N240</x:f>
        <x:v>360</x:v>
      </x:c>
      <x:c r="P240" s="24" t="n">
        <x:v>3.26</x:v>
      </x:c>
      <x:c r="Q240" s="26" t="n">
        <x:v>0.14373767856461236</x:v>
      </x:c>
      <x:c r="R240" s="24" t="n">
        <x:f>O240*P240*Q240</x:f>
        <x:v>168.69053956342907</x:v>
      </x:c>
      <x:c r="S240" s="24" t="n">
        <x:f>P240*(1-Q240)</x:f>
        <x:v>2.7914151678793635</x:v>
      </x:c>
      <x:c r="T240" s="24" t="n">
        <x:f>O240*S240</x:f>
        <x:v>1004.9094604365708</x:v>
      </x:c>
      <x:c r="U240" t="str">
        <x:v>VALLE</x:v>
      </x:c>
      <x:c r="V240" t="str">
        <x:v>Farmacia Valle de los Chillos</x:v>
      </x:c>
      <x:c r="W240" t="str">
        <x:v>Zona Valle</x:v>
      </x:c>
      <x:c r="X240" t="str">
        <x:v>Sangolquí</x:v>
      </x:c>
      <x:c r="Y240" s="32" t="str">
        <x:v>Av. Calderón 101</x:v>
      </x:c>
      <x:c r="Z240" s="22" t="n">
        <x:v>46095</x:v>
      </x:c>
      <x:c r="AA240" t="str">
        <x:v>Recibido</x:v>
      </x:c>
      <x:c r="AB240" t="str">
        <x:v>60 días crédito</x:v>
      </x:c>
      <x:c r="AC240" s="32" t="str">
        <x:v>Descuento por volumen</x:v>
      </x:c>
    </x:row>
    <x:row r="241">
      <x:c r="A241" t="n">
        <x:v>240</x:v>
      </x:c>
      <x:c r="B241" s="22" t="n">
        <x:v>45872</x:v>
      </x:c>
      <x:c r="C241" t="str">
        <x:v>OC-2025-0240</x:v>
      </x:c>
      <x:c r="D241" t="str">
        <x:v>F-D006-202508-1322</x:v>
      </x:c>
      <x:c r="E241" t="str">
        <x:v>L2508-010-0240</x:v>
      </x:c>
      <x:c r="F241" t="str">
        <x:v>D006</x:v>
      </x:c>
      <x:c r="G241" s="32" t="str">
        <x:v>Insumos Médicos del Pacífico</x:v>
      </x:c>
      <x:c r="H241" t="str">
        <x:v>MED010</x:v>
      </x:c>
      <x:c r="I241" s="32" t="str">
        <x:v>Aspirina 100 mg</x:v>
      </x:c>
      <x:c r="J241" s="32" t="str">
        <x:v>Cardiovasculares</x:v>
      </x:c>
      <x:c r="K241" s="32" t="str">
        <x:v>Bayer</x:v>
      </x:c>
      <x:c r="L241" s="32" t="str">
        <x:v>Caja x 30 tabletas</x:v>
      </x:c>
      <x:c r="M241" s="28" t="n">
        <x:v>7</x:v>
      </x:c>
      <x:c r="N241" s="28" t="n">
        <x:v>24</x:v>
      </x:c>
      <x:c r="O241" s="28" t="n">
        <x:f>M241*N241</x:f>
        <x:v>168</x:v>
      </x:c>
      <x:c r="P241" s="24" t="n">
        <x:v>1.7</x:v>
      </x:c>
      <x:c r="Q241" s="26" t="n">
        <x:v>0.10922659831844073</x:v>
      </x:c>
      <x:c r="R241" s="24" t="n">
        <x:f>O241*P241*Q241</x:f>
        <x:v>31.195116479746666</x:v>
      </x:c>
      <x:c r="S241" s="24" t="n">
        <x:f>P241*(1-Q241)</x:f>
        <x:v>1.5143147828586507</x:v>
      </x:c>
      <x:c r="T241" s="24" t="n">
        <x:f>O241*S241</x:f>
        <x:v>254.40488352025332</x:v>
      </x:c>
      <x:c r="U241" t="str">
        <x:v>SUR</x:v>
      </x:c>
      <x:c r="V241" t="str">
        <x:v>Farmacia del Sur</x:v>
      </x:c>
      <x:c r="W241" t="str">
        <x:v>Zona Sur</x:v>
      </x:c>
      <x:c r="X241" t="str">
        <x:v>Quito</x:v>
      </x:c>
      <x:c r="Y241" s="32" t="str">
        <x:v>Av. Maldonado S25-10</x:v>
      </x:c>
      <x:c r="Z241" s="22" t="n">
        <x:v>45873</x:v>
      </x:c>
      <x:c r="AA241" t="str">
        <x:v>Recibido</x:v>
      </x:c>
      <x:c r="AB241" t="str">
        <x:v>60 días crédito</x:v>
      </x:c>
      <x:c r="AC241" s="32" t="str"/>
    </x:row>
    <x:row r="242">
      <x:c r="A242" t="n">
        <x:v>241</x:v>
      </x:c>
      <x:c r="B242" s="22" t="n">
        <x:v>45913</x:v>
      </x:c>
      <x:c r="C242" t="str">
        <x:v>OC-2025-0241</x:v>
      </x:c>
      <x:c r="D242" t="str">
        <x:v>F-D008-202509-4214</x:v>
      </x:c>
      <x:c r="E242" t="str">
        <x:v>L2509-005-0241</x:v>
      </x:c>
      <x:c r="F242" t="str">
        <x:v>D008</x:v>
      </x:c>
      <x:c r="G242" s="32" t="str">
        <x:v>Mayorista MedicPlus</x:v>
      </x:c>
      <x:c r="H242" t="str">
        <x:v>MED005</x:v>
      </x:c>
      <x:c r="I242" s="32" t="str">
        <x:v>Loratadina 10 mg</x:v>
      </x:c>
      <x:c r="J242" s="32" t="str">
        <x:v>Antigripales</x:v>
      </x:c>
      <x:c r="K242" s="32" t="str">
        <x:v>Genfar</x:v>
      </x:c>
      <x:c r="L242" s="32" t="str">
        <x:v>Caja x 10 tabletas</x:v>
      </x:c>
      <x:c r="M242" s="28" t="n">
        <x:v>4</x:v>
      </x:c>
      <x:c r="N242" s="28" t="n">
        <x:v>50</x:v>
      </x:c>
      <x:c r="O242" s="28" t="n">
        <x:f>M242*N242</x:f>
        <x:v>200</x:v>
      </x:c>
      <x:c r="P242" s="24" t="n">
        <x:v>0.9</x:v>
      </x:c>
      <x:c r="Q242" s="26" t="n">
        <x:v>0.10920431850249226</x:v>
      </x:c>
      <x:c r="R242" s="24" t="n">
        <x:f>O242*P242*Q242</x:f>
        <x:v>19.65677733044861</x:v>
      </x:c>
      <x:c r="S242" s="24" t="n">
        <x:f>P242*(1-Q242)</x:f>
        <x:v>0.801716113347757</x:v>
      </x:c>
      <x:c r="T242" s="24" t="n">
        <x:f>O242*S242</x:f>
        <x:v>160.3432226695514</x:v>
      </x:c>
      <x:c r="U242" t="str">
        <x:v>CENTRO</x:v>
      </x:c>
      <x:c r="V242" t="str">
        <x:v>Farmacia Centro Histórico</x:v>
      </x:c>
      <x:c r="W242" t="str">
        <x:v>Zona Centro</x:v>
      </x:c>
      <x:c r="X242" t="str">
        <x:v>Quito</x:v>
      </x:c>
      <x:c r="Y242" s="32" t="str">
        <x:v>Guayaquil y Chile</x:v>
      </x:c>
      <x:c r="Z242" s="22" t="n">
        <x:v>45915</x:v>
      </x:c>
      <x:c r="AA242" t="str">
        <x:v>Recibido</x:v>
      </x:c>
      <x:c r="AB242" t="str">
        <x:v>30 días crédito</x:v>
      </x:c>
      <x:c r="AC242" s="32" t="str"/>
    </x:row>
    <x:row r="243">
      <x:c r="A243" t="n">
        <x:v>242</x:v>
      </x:c>
      <x:c r="B243" s="22" t="n">
        <x:v>46148</x:v>
      </x:c>
      <x:c r="C243" t="str">
        <x:v>OC-2026-0242</x:v>
      </x:c>
      <x:c r="D243" t="str">
        <x:v>F-D003-202605-9856</x:v>
      </x:c>
      <x:c r="E243" t="str">
        <x:v>L2605-001-0242</x:v>
      </x:c>
      <x:c r="F243" t="str">
        <x:v>D003</x:v>
      </x:c>
      <x:c r="G243" s="32" t="str">
        <x:v>FarmaLogística Sierra</x:v>
      </x:c>
      <x:c r="H243" t="str">
        <x:v>MED001</x:v>
      </x:c>
      <x:c r="I243" s="32" t="str">
        <x:v>Paracetamol 500 mg</x:v>
      </x:c>
      <x:c r="J243" s="32" t="str">
        <x:v>Analgésicos</x:v>
      </x:c>
      <x:c r="K243" s="32" t="str">
        <x:v>Genfar</x:v>
      </x:c>
      <x:c r="L243" s="32" t="str">
        <x:v>Caja x 20 tabletas</x:v>
      </x:c>
      <x:c r="M243" s="28" t="n">
        <x:v>8</x:v>
      </x:c>
      <x:c r="N243" s="28" t="n">
        <x:v>24</x:v>
      </x:c>
      <x:c r="O243" s="28" t="n">
        <x:f>M243*N243</x:f>
        <x:v>192</x:v>
      </x:c>
      <x:c r="P243" s="24" t="n">
        <x:v>0.93</x:v>
      </x:c>
      <x:c r="Q243" s="26" t="n">
        <x:v>0.06074658331064836</x:v>
      </x:c>
      <x:c r="R243" s="24" t="n">
        <x:f>O243*P243*Q243</x:f>
        <x:v>10.846909915949372</x:v>
      </x:c>
      <x:c r="S243" s="24" t="n">
        <x:f>P243*(1-Q243)</x:f>
        <x:v>0.873505677521097</x:v>
      </x:c>
      <x:c r="T243" s="24" t="n">
        <x:f>O243*S243</x:f>
        <x:v>167.71309008405063</x:v>
      </x:c>
      <x:c r="U243" t="str">
        <x:v>NORTE</x:v>
      </x:c>
      <x:c r="V243" t="str">
        <x:v>Farmacia Norte</x:v>
      </x:c>
      <x:c r="W243" t="str">
        <x:v>Zona Norte</x:v>
      </x:c>
      <x:c r="X243" t="str">
        <x:v>Quito</x:v>
      </x:c>
      <x:c r="Y243" s="32" t="str">
        <x:v>Av. 10 de Agosto N45-20</x:v>
      </x:c>
      <x:c r="Z243" s="22" t="n">
        <x:v>46152</x:v>
      </x:c>
      <x:c r="AA243" t="str">
        <x:v>Recibido</x:v>
      </x:c>
      <x:c r="AB243" t="str">
        <x:v>Contado contra entrega</x:v>
      </x:c>
      <x:c r="AC243" s="32" t="str">
        <x:v>Entrega coordinada fuera de horario regular</x:v>
      </x:c>
    </x:row>
    <x:row r="244">
      <x:c r="A244" t="n">
        <x:v>243</x:v>
      </x:c>
      <x:c r="B244" s="22" t="n">
        <x:v>46103</x:v>
      </x:c>
      <x:c r="C244" t="str">
        <x:v>OC-2026-0243</x:v>
      </x:c>
      <x:c r="D244" t="str">
        <x:v>F-D001-202603-2155</x:v>
      </x:c>
      <x:c r="E244" t="str">
        <x:v>L2603-001-0243</x:v>
      </x:c>
      <x:c r="F244" t="str">
        <x:v>D001</x:v>
      </x:c>
      <x:c r="G244" s="32" t="str">
        <x:v>DistriFarma Andina S.A.</x:v>
      </x:c>
      <x:c r="H244" t="str">
        <x:v>MED001</x:v>
      </x:c>
      <x:c r="I244" s="32" t="str">
        <x:v>Paracetamol 500 mg</x:v>
      </x:c>
      <x:c r="J244" s="32" t="str">
        <x:v>Analgésicos</x:v>
      </x:c>
      <x:c r="K244" s="32" t="str">
        <x:v>Genfar</x:v>
      </x:c>
      <x:c r="L244" s="32" t="str">
        <x:v>Caja x 20 tabletas</x:v>
      </x:c>
      <x:c r="M244" s="28" t="n">
        <x:v>12</x:v>
      </x:c>
      <x:c r="N244" s="28" t="n">
        <x:v>50</x:v>
      </x:c>
      <x:c r="O244" s="28" t="n">
        <x:f>M244*N244</x:f>
        <x:v>600</x:v>
      </x:c>
      <x:c r="P244" s="24" t="n">
        <x:v>0.82</x:v>
      </x:c>
      <x:c r="Q244" s="26" t="n">
        <x:v>0.07751775660859735</x:v>
      </x:c>
      <x:c r="R244" s="24" t="n">
        <x:f>O244*P244*Q244</x:f>
        <x:v>38.13873625142989</x:v>
      </x:c>
      <x:c r="S244" s="24" t="n">
        <x:f>P244*(1-Q244)</x:f>
        <x:v>0.75643543958095</x:v>
      </x:c>
      <x:c r="T244" s="24" t="n">
        <x:f>O244*S244</x:f>
        <x:v>453.86126374857</x:v>
      </x:c>
      <x:c r="U244" t="str">
        <x:v>SUR</x:v>
      </x:c>
      <x:c r="V244" t="str">
        <x:v>Farmacia del Sur</x:v>
      </x:c>
      <x:c r="W244" t="str">
        <x:v>Zona Sur</x:v>
      </x:c>
      <x:c r="X244" t="str">
        <x:v>Quito</x:v>
      </x:c>
      <x:c r="Y244" s="32" t="str">
        <x:v>Av. Maldonado S25-10</x:v>
      </x:c>
      <x:c r="Z244" s="22" t="n">
        <x:v>46105</x:v>
      </x:c>
      <x:c r="AA244" t="str">
        <x:v>Recibido</x:v>
      </x:c>
      <x:c r="AB244" t="str">
        <x:v>30 días crédito</x:v>
      </x:c>
      <x:c r="AC244" s="32" t="str"/>
    </x:row>
    <x:row r="245">
      <x:c r="A245" t="n">
        <x:v>244</x:v>
      </x:c>
      <x:c r="B245" s="22" t="n">
        <x:v>45662</x:v>
      </x:c>
      <x:c r="C245" t="str">
        <x:v>OC-2025-0244</x:v>
      </x:c>
      <x:c r="D245" t="str">
        <x:v>F-D007-202501-1557</x:v>
      </x:c>
      <x:c r="E245" t="str">
        <x:v>L2501-012-0244</x:v>
      </x:c>
      <x:c r="F245" t="str">
        <x:v>D007</x:v>
      </x:c>
      <x:c r="G245" s="32" t="str">
        <x:v>Comercializadora BioFarma</x:v>
      </x:c>
      <x:c r="H245" t="str">
        <x:v>MED012</x:v>
      </x:c>
      <x:c r="I245" s="32" t="str">
        <x:v>Multivitamínico adulto</x:v>
      </x:c>
      <x:c r="J245" s="32" t="str">
        <x:v>Vitaminas</x:v>
      </x:c>
      <x:c r="K245" s="32" t="str">
        <x:v>Novartis</x:v>
      </x:c>
      <x:c r="L245" s="32" t="str">
        <x:v>Frasco x 30 tabletas</x:v>
      </x:c>
      <x:c r="M245" s="28" t="n">
        <x:v>15</x:v>
      </x:c>
      <x:c r="N245" s="28" t="n">
        <x:v>20</x:v>
      </x:c>
      <x:c r="O245" s="28" t="n">
        <x:f>M245*N245</x:f>
        <x:v>300</x:v>
      </x:c>
      <x:c r="P245" s="24" t="n">
        <x:v>4.47</x:v>
      </x:c>
      <x:c r="Q245" s="26" t="n">
        <x:v>0.0636038857388496</x:v>
      </x:c>
      <x:c r="R245" s="24" t="n">
        <x:f>O245*P245*Q245</x:f>
        <x:v>85.29281077579732</x:v>
      </x:c>
      <x:c r="S245" s="24" t="n">
        <x:f>P245*(1-Q245)</x:f>
        <x:v>4.1856906307473425</x:v>
      </x:c>
      <x:c r="T245" s="24" t="n">
        <x:f>O245*S245</x:f>
        <x:v>1255.7071892242027</x:v>
      </x:c>
      <x:c r="U245" t="str">
        <x:v>CENTRO</x:v>
      </x:c>
      <x:c r="V245" t="str">
        <x:v>Farmacia Centro Histórico</x:v>
      </x:c>
      <x:c r="W245" t="str">
        <x:v>Zona Centro</x:v>
      </x:c>
      <x:c r="X245" t="str">
        <x:v>Quito</x:v>
      </x:c>
      <x:c r="Y245" s="32" t="str">
        <x:v>Guayaquil y Chile</x:v>
      </x:c>
      <x:c r="Z245" s="22" t="n">
        <x:v>45664</x:v>
      </x:c>
      <x:c r="AA245" t="str">
        <x:v>Recibido</x:v>
      </x:c>
      <x:c r="AB245" t="str">
        <x:v>15 días crédito</x:v>
      </x:c>
      <x:c r="AC245" s="32" t="str"/>
    </x:row>
    <x:row r="246">
      <x:c r="A246" t="n">
        <x:v>245</x:v>
      </x:c>
      <x:c r="B246" s="22" t="n">
        <x:v>45824</x:v>
      </x:c>
      <x:c r="C246" t="str">
        <x:v>OC-2025-0245</x:v>
      </x:c>
      <x:c r="D246" t="str">
        <x:v>F-D007-202506-2067</x:v>
      </x:c>
      <x:c r="E246" t="str">
        <x:v>L2506-012-0245</x:v>
      </x:c>
      <x:c r="F246" t="str">
        <x:v>D007</x:v>
      </x:c>
      <x:c r="G246" s="32" t="str">
        <x:v>Comercializadora BioFarma</x:v>
      </x:c>
      <x:c r="H246" t="str">
        <x:v>MED012</x:v>
      </x:c>
      <x:c r="I246" s="32" t="str">
        <x:v>Multivitamínico adulto</x:v>
      </x:c>
      <x:c r="J246" s="32" t="str">
        <x:v>Vitaminas</x:v>
      </x:c>
      <x:c r="K246" s="32" t="str">
        <x:v>Novartis</x:v>
      </x:c>
      <x:c r="L246" s="32" t="str">
        <x:v>Frasco x 30 tabletas</x:v>
      </x:c>
      <x:c r="M246" s="28" t="n">
        <x:v>20</x:v>
      </x:c>
      <x:c r="N246" s="28" t="n">
        <x:v>24</x:v>
      </x:c>
      <x:c r="O246" s="28" t="n">
        <x:f>M246*N246</x:f>
        <x:v>480</x:v>
      </x:c>
      <x:c r="P246" s="24" t="n">
        <x:v>4.44</x:v>
      </x:c>
      <x:c r="Q246" s="26" t="n">
        <x:v>0.09523478185159955</x:v>
      </x:c>
      <x:c r="R246" s="24" t="n">
        <x:f>O246*P246*Q246</x:f>
        <x:v>202.96436708212897</x:v>
      </x:c>
      <x:c r="S246" s="24" t="n">
        <x:f>P246*(1-Q246)</x:f>
        <x:v>4.017157568578899</x:v>
      </x:c>
      <x:c r="T246" s="24" t="n">
        <x:f>O246*S246</x:f>
        <x:v>1928.2356329178715</x:v>
      </x:c>
      <x:c r="U246" t="str">
        <x:v>CENTRO</x:v>
      </x:c>
      <x:c r="V246" t="str">
        <x:v>Farmacia Centro Histórico</x:v>
      </x:c>
      <x:c r="W246" t="str">
        <x:v>Zona Centro</x:v>
      </x:c>
      <x:c r="X246" t="str">
        <x:v>Quito</x:v>
      </x:c>
      <x:c r="Y246" s="32" t="str">
        <x:v>Guayaquil y Chile</x:v>
      </x:c>
      <x:c r="Z246" s="22" t="n">
        <x:v>45825</x:v>
      </x:c>
      <x:c r="AA246" t="str">
        <x:v>Recibido</x:v>
      </x:c>
      <x:c r="AB246" t="str">
        <x:v>15 días crédito</x:v>
      </x:c>
      <x:c r="AC246" s="32" t="str"/>
    </x:row>
    <x:row r="247">
      <x:c r="A247" t="n">
        <x:v>246</x:v>
      </x:c>
      <x:c r="B247" s="22" t="n">
        <x:v>45812</x:v>
      </x:c>
      <x:c r="C247" t="str">
        <x:v>OC-2025-0246</x:v>
      </x:c>
      <x:c r="D247" t="str">
        <x:v>F-D006-202506-3593</x:v>
      </x:c>
      <x:c r="E247" t="str">
        <x:v>L2506-008-0246</x:v>
      </x:c>
      <x:c r="F247" t="str">
        <x:v>D006</x:v>
      </x:c>
      <x:c r="G247" s="32" t="str">
        <x:v>Insumos Médicos del Pacífico</x:v>
      </x:c>
      <x:c r="H247" t="str">
        <x:v>MED008</x:v>
      </x:c>
      <x:c r="I247" s="32" t="str">
        <x:v>Diclofenaco gel</x:v>
      </x:c>
      <x:c r="J247" s="32" t="str">
        <x:v>Dermatológicos</x:v>
      </x:c>
      <x:c r="K247" s="32" t="str">
        <x:v>Bayer</x:v>
      </x:c>
      <x:c r="L247" s="32" t="str">
        <x:v>Tubo 50 g</x:v>
      </x:c>
      <x:c r="M247" s="28" t="n">
        <x:v>3</x:v>
      </x:c>
      <x:c r="N247" s="28" t="n">
        <x:v>30</x:v>
      </x:c>
      <x:c r="O247" s="28" t="n">
        <x:f>M247*N247</x:f>
        <x:v>90</x:v>
      </x:c>
      <x:c r="P247" s="24" t="n">
        <x:v>2.01</x:v>
      </x:c>
      <x:c r="Q247" s="26" t="n">
        <x:v>0.10219876019186189</x:v>
      </x:c>
      <x:c r="R247" s="24" t="n">
        <x:f>O247*P247*Q247</x:f>
        <x:v>18.487755718707813</x:v>
      </x:c>
      <x:c r="S247" s="24" t="n">
        <x:f>P247*(1-Q247)</x:f>
        <x:v>1.8045804920143573</x:v>
      </x:c>
      <x:c r="T247" s="24" t="n">
        <x:f>O247*S247</x:f>
        <x:v>162.41224428129215</x:v>
      </x:c>
      <x:c r="U247" t="str">
        <x:v>NORTE</x:v>
      </x:c>
      <x:c r="V247" t="str">
        <x:v>Farmacia Norte</x:v>
      </x:c>
      <x:c r="W247" t="str">
        <x:v>Zona Norte</x:v>
      </x:c>
      <x:c r="X247" t="str">
        <x:v>Quito</x:v>
      </x:c>
      <x:c r="Y247" s="32" t="str">
        <x:v>Av. 10 de Agosto N45-20</x:v>
      </x:c>
      <x:c r="Z247" s="22" t="n">
        <x:v>45816</x:v>
      </x:c>
      <x:c r="AA247" t="str">
        <x:v>Recibido</x:v>
      </x:c>
      <x:c r="AB247" t="str">
        <x:v>60 días crédito</x:v>
      </x:c>
      <x:c r="AC247" s="32" t="str">
        <x:v>Entrega coordinada fuera de horario regular</x:v>
      </x:c>
    </x:row>
    <x:row r="248">
      <x:c r="A248" t="n">
        <x:v>247</x:v>
      </x:c>
      <x:c r="B248" s="22" t="n">
        <x:v>45892</x:v>
      </x:c>
      <x:c r="C248" t="str">
        <x:v>OC-2025-0247</x:v>
      </x:c>
      <x:c r="D248" t="str">
        <x:v>F-D001-202508-6753</x:v>
      </x:c>
      <x:c r="E248" t="str">
        <x:v>L2508-011-0247</x:v>
      </x:c>
      <x:c r="F248" t="str">
        <x:v>D001</x:v>
      </x:c>
      <x:c r="G248" s="32" t="str">
        <x:v>DistriFarma Andina S.A.</x:v>
      </x:c>
      <x:c r="H248" t="str">
        <x:v>MED011</x:v>
      </x:c>
      <x:c r="I248" s="32" t="str">
        <x:v>Jarabe antigripal</x:v>
      </x:c>
      <x:c r="J248" s="32" t="str">
        <x:v>Antigripales</x:v>
      </x:c>
      <x:c r="K248" s="32" t="str">
        <x:v>MEDICAMENTA</x:v>
      </x:c>
      <x:c r="L248" s="32" t="str">
        <x:v>Frasco 120 ml</x:v>
      </x:c>
      <x:c r="M248" s="28" t="n">
        <x:v>18</x:v>
      </x:c>
      <x:c r="N248" s="28" t="n">
        <x:v>10</x:v>
      </x:c>
      <x:c r="O248" s="28" t="n">
        <x:f>M248*N248</x:f>
        <x:v>180</x:v>
      </x:c>
      <x:c r="P248" s="24" t="n">
        <x:v>2.35</x:v>
      </x:c>
      <x:c r="Q248" s="26" t="n">
        <x:v>0.08864244040568678</x:v>
      </x:c>
      <x:c r="R248" s="24" t="n">
        <x:f>O248*P248*Q248</x:f>
        <x:v>37.495752291605505</x:v>
      </x:c>
      <x:c r="S248" s="24" t="n">
        <x:f>P248*(1-Q248)</x:f>
        <x:v>2.1416902650466363</x:v>
      </x:c>
      <x:c r="T248" s="24" t="n">
        <x:f>O248*S248</x:f>
        <x:v>385.50424770839453</x:v>
      </x:c>
      <x:c r="U248" t="str">
        <x:v>CENTRO</x:v>
      </x:c>
      <x:c r="V248" t="str">
        <x:v>Farmacia Centro Histórico</x:v>
      </x:c>
      <x:c r="W248" t="str">
        <x:v>Zona Centro</x:v>
      </x:c>
      <x:c r="X248" t="str">
        <x:v>Quito</x:v>
      </x:c>
      <x:c r="Y248" s="32" t="str">
        <x:v>Guayaquil y Chile</x:v>
      </x:c>
      <x:c r="Z248" s="22" t="n">
        <x:v>45894</x:v>
      </x:c>
      <x:c r="AA248" t="str">
        <x:v>Recibido</x:v>
      </x:c>
      <x:c r="AB248" t="str">
        <x:v>30 días crédito</x:v>
      </x:c>
      <x:c r="AC248" s="32" t="str"/>
    </x:row>
    <x:row r="249">
      <x:c r="A249" t="n">
        <x:v>248</x:v>
      </x:c>
      <x:c r="B249" s="22" t="n">
        <x:v>45994</x:v>
      </x:c>
      <x:c r="C249" t="str">
        <x:v>OC-2025-0248</x:v>
      </x:c>
      <x:c r="D249" t="str">
        <x:v>F-D008-202512-2713</x:v>
      </x:c>
      <x:c r="E249" t="str">
        <x:v>L2512-002-0248</x:v>
      </x:c>
      <x:c r="F249" t="str">
        <x:v>D008</x:v>
      </x:c>
      <x:c r="G249" s="32" t="str">
        <x:v>Mayorista MedicPlus</x:v>
      </x:c>
      <x:c r="H249" t="str">
        <x:v>MED002</x:v>
      </x:c>
      <x:c r="I249" s="32" t="str">
        <x:v>Ibuprofeno 400 mg</x:v>
      </x:c>
      <x:c r="J249" s="32" t="str">
        <x:v>Analgésicos</x:v>
      </x:c>
      <x:c r="K249" s="32" t="str">
        <x:v>La Santé</x:v>
      </x:c>
      <x:c r="L249" s="32" t="str">
        <x:v>Caja x 20 tabletas</x:v>
      </x:c>
      <x:c r="M249" s="28" t="n">
        <x:v>20</x:v>
      </x:c>
      <x:c r="N249" s="28" t="n">
        <x:v>30</x:v>
      </x:c>
      <x:c r="O249" s="28" t="n">
        <x:f>M249*N249</x:f>
        <x:v>600</x:v>
      </x:c>
      <x:c r="P249" s="24" t="n">
        <x:v>1.22</x:v>
      </x:c>
      <x:c r="Q249" s="26" t="n">
        <x:v>0.12106906360905821</x:v>
      </x:c>
      <x:c r="R249" s="24" t="n">
        <x:f>O249*P249*Q249</x:f>
        <x:v>88.62255456183061</x:v>
      </x:c>
      <x:c r="S249" s="24" t="n">
        <x:f>P249*(1-Q249)</x:f>
        <x:v>1.072295742396949</x:v>
      </x:c>
      <x:c r="T249" s="24" t="n">
        <x:f>O249*S249</x:f>
        <x:v>643.3774454381694</x:v>
      </x:c>
      <x:c r="U249" t="str">
        <x:v>CENTRO</x:v>
      </x:c>
      <x:c r="V249" t="str">
        <x:v>Farmacia Centro Histórico</x:v>
      </x:c>
      <x:c r="W249" t="str">
        <x:v>Zona Centro</x:v>
      </x:c>
      <x:c r="X249" t="str">
        <x:v>Quito</x:v>
      </x:c>
      <x:c r="Y249" s="32" t="str">
        <x:v>Guayaquil y Chile</x:v>
      </x:c>
      <x:c r="Z249" s="22" t="n">
        <x:v>45995</x:v>
      </x:c>
      <x:c r="AA249" t="str">
        <x:v>Recibido</x:v>
      </x:c>
      <x:c r="AB249" t="str">
        <x:v>30 días crédito</x:v>
      </x:c>
      <x:c r="AC249" s="32" t="str"/>
    </x:row>
    <x:row r="250">
      <x:c r="A250" t="n">
        <x:v>249</x:v>
      </x:c>
      <x:c r="B250" s="22" t="n">
        <x:v>46124</x:v>
      </x:c>
      <x:c r="C250" t="str">
        <x:v>OC-2026-0249</x:v>
      </x:c>
      <x:c r="D250" t="str">
        <x:v>F-D001-202604-3397</x:v>
      </x:c>
      <x:c r="E250" t="str">
        <x:v>L2604-011-0249</x:v>
      </x:c>
      <x:c r="F250" t="str">
        <x:v>D001</x:v>
      </x:c>
      <x:c r="G250" s="32" t="str">
        <x:v>DistriFarma Andina S.A.</x:v>
      </x:c>
      <x:c r="H250" t="str">
        <x:v>MED011</x:v>
      </x:c>
      <x:c r="I250" s="32" t="str">
        <x:v>Jarabe antigripal</x:v>
      </x:c>
      <x:c r="J250" s="32" t="str">
        <x:v>Antigripales</x:v>
      </x:c>
      <x:c r="K250" s="32" t="str">
        <x:v>MEDICAMENTA</x:v>
      </x:c>
      <x:c r="L250" s="32" t="str">
        <x:v>Frasco 120 ml</x:v>
      </x:c>
      <x:c r="M250" s="28" t="n">
        <x:v>2</x:v>
      </x:c>
      <x:c r="N250" s="28" t="n">
        <x:v>60</x:v>
      </x:c>
      <x:c r="O250" s="28" t="n">
        <x:f>M250*N250</x:f>
        <x:v>120</x:v>
      </x:c>
      <x:c r="P250" s="24" t="n">
        <x:v>3.17</x:v>
      </x:c>
      <x:c r="Q250" s="26" t="n">
        <x:v>0.10209777280238067</x:v>
      </x:c>
      <x:c r="R250" s="24" t="n">
        <x:f>O250*P250*Q250</x:f>
        <x:v>38.8379927740256</x:v>
      </x:c>
      <x:c r="S250" s="24" t="n">
        <x:f>P250*(1-Q250)</x:f>
        <x:v>2.8463500602164533</x:v>
      </x:c>
      <x:c r="T250" s="24" t="n">
        <x:f>O250*S250</x:f>
        <x:v>341.5620072259744</x:v>
      </x:c>
      <x:c r="U250" t="str">
        <x:v>NORTE</x:v>
      </x:c>
      <x:c r="V250" t="str">
        <x:v>Farmacia Norte</x:v>
      </x:c>
      <x:c r="W250" t="str">
        <x:v>Zona Norte</x:v>
      </x:c>
      <x:c r="X250" t="str">
        <x:v>Quito</x:v>
      </x:c>
      <x:c r="Y250" s="32" t="str">
        <x:v>Av. 10 de Agosto N45-20</x:v>
      </x:c>
      <x:c r="Z250" s="22" t="n">
        <x:v>46126</x:v>
      </x:c>
      <x:c r="AA250" t="str">
        <x:v>Recibido</x:v>
      </x:c>
      <x:c r="AB250" t="str">
        <x:v>30 días crédito</x:v>
      </x:c>
      <x:c r="AC250" s="32" t="str"/>
    </x:row>
    <x:row r="251">
      <x:c r="A251" t="n">
        <x:v>250</x:v>
      </x:c>
      <x:c r="B251" s="22" t="n">
        <x:v>45968</x:v>
      </x:c>
      <x:c r="C251" t="str">
        <x:v>OC-2025-0250</x:v>
      </x:c>
      <x:c r="D251" t="str">
        <x:v>F-D007-202511-6044</x:v>
      </x:c>
      <x:c r="E251" t="str">
        <x:v>L2511-003-0250</x:v>
      </x:c>
      <x:c r="F251" t="str">
        <x:v>D007</x:v>
      </x:c>
      <x:c r="G251" s="32" t="str">
        <x:v>Comercializadora BioFarma</x:v>
      </x:c>
      <x:c r="H251" t="str">
        <x:v>MED003</x:v>
      </x:c>
      <x:c r="I251" s="32" t="str">
        <x:v>Amoxicilina 500 mg</x:v>
      </x:c>
      <x:c r="J251" s="32" t="str">
        <x:v>Antibióticos</x:v>
      </x:c>
      <x:c r="K251" s="32" t="str">
        <x:v>Acromax</x:v>
      </x:c>
      <x:c r="L251" s="32" t="str">
        <x:v>Caja x 21 cápsulas</x:v>
      </x:c>
      <x:c r="M251" s="28" t="n">
        <x:v>5</x:v>
      </x:c>
      <x:c r="N251" s="28" t="n">
        <x:v>24</x:v>
      </x:c>
      <x:c r="O251" s="28" t="n">
        <x:f>M251*N251</x:f>
        <x:v>120</x:v>
      </x:c>
      <x:c r="P251" s="24" t="n">
        <x:v>3.81</x:v>
      </x:c>
      <x:c r="Q251" s="26" t="n">
        <x:v>0.06070695738441575</x:v>
      </x:c>
      <x:c r="R251" s="24" t="n">
        <x:f>O251*P251*Q251</x:f>
        <x:v>27.75522091615488</x:v>
      </x:c>
      <x:c r="S251" s="24" t="n">
        <x:f>P251*(1-Q251)</x:f>
        <x:v>3.578706492365376</x:v>
      </x:c>
      <x:c r="T251" s="24" t="n">
        <x:f>O251*S251</x:f>
        <x:v>429.4447790838451</x:v>
      </x:c>
      <x:c r="U251" t="str">
        <x:v>NORTE</x:v>
      </x:c>
      <x:c r="V251" t="str">
        <x:v>Farmacia Norte</x:v>
      </x:c>
      <x:c r="W251" t="str">
        <x:v>Zona Norte</x:v>
      </x:c>
      <x:c r="X251" t="str">
        <x:v>Quito</x:v>
      </x:c>
      <x:c r="Y251" s="32" t="str">
        <x:v>Av. 10 de Agosto N45-20</x:v>
      </x:c>
      <x:c r="Z251" s="22" t="n">
        <x:v>45970</x:v>
      </x:c>
      <x:c r="AA251" t="str">
        <x:v>Recibido</x:v>
      </x:c>
      <x:c r="AB251" t="str">
        <x:v>15 días crédito</x:v>
      </x:c>
      <x:c r="AC251" s="32" t="str">
        <x:v>Entrega coordinada fuera de horario regular</x:v>
      </x:c>
    </x:row>
    <x:row r="252">
      <x:c r="A252" t="n">
        <x:v>251</x:v>
      </x:c>
      <x:c r="B252" s="22" t="n">
        <x:v>46145</x:v>
      </x:c>
      <x:c r="C252" t="str">
        <x:v>OC-2026-0251</x:v>
      </x:c>
      <x:c r="D252" t="str">
        <x:v>F-D006-202605-8574</x:v>
      </x:c>
      <x:c r="E252" t="str">
        <x:v>L2605-010-0251</x:v>
      </x:c>
      <x:c r="F252" t="str">
        <x:v>D006</x:v>
      </x:c>
      <x:c r="G252" s="32" t="str">
        <x:v>Insumos Médicos del Pacífico</x:v>
      </x:c>
      <x:c r="H252" t="str">
        <x:v>MED010</x:v>
      </x:c>
      <x:c r="I252" s="32" t="str">
        <x:v>Aspirina 100 mg</x:v>
      </x:c>
      <x:c r="J252" s="32" t="str">
        <x:v>Cardiovasculares</x:v>
      </x:c>
      <x:c r="K252" s="32" t="str">
        <x:v>Bayer</x:v>
      </x:c>
      <x:c r="L252" s="32" t="str">
        <x:v>Caja x 30 tabletas</x:v>
      </x:c>
      <x:c r="M252" s="28" t="n">
        <x:v>2</x:v>
      </x:c>
      <x:c r="N252" s="28" t="n">
        <x:v>60</x:v>
      </x:c>
      <x:c r="O252" s="28" t="n">
        <x:f>M252*N252</x:f>
        <x:v>120</x:v>
      </x:c>
      <x:c r="P252" s="24" t="n">
        <x:v>1.89</x:v>
      </x:c>
      <x:c r="Q252" s="26" t="n">
        <x:v>0.10358814448431604</x:v>
      </x:c>
      <x:c r="R252" s="24" t="n">
        <x:f>O252*P252*Q252</x:f>
        <x:v>23.493791169042876</x:v>
      </x:c>
      <x:c r="S252" s="24" t="n">
        <x:f>P252*(1-Q252)</x:f>
        <x:v>1.6942184069246424</x:v>
      </x:c>
      <x:c r="T252" s="24" t="n">
        <x:f>O252*S252</x:f>
        <x:v>203.3062088309571</x:v>
      </x:c>
      <x:c r="U252" t="str">
        <x:v>VALLE</x:v>
      </x:c>
      <x:c r="V252" t="str">
        <x:v>Farmacia Valle de los Chillos</x:v>
      </x:c>
      <x:c r="W252" t="str">
        <x:v>Zona Valle</x:v>
      </x:c>
      <x:c r="X252" t="str">
        <x:v>Sangolquí</x:v>
      </x:c>
      <x:c r="Y252" s="32" t="str">
        <x:v>Av. Calderón 101</x:v>
      </x:c>
      <x:c r="Z252" s="22" t="n">
        <x:v>46146</x:v>
      </x:c>
      <x:c r="AA252" t="str">
        <x:v>Recibido</x:v>
      </x:c>
      <x:c r="AB252" t="str">
        <x:v>60 días crédito</x:v>
      </x:c>
      <x:c r="AC252" s="32" t="str"/>
    </x:row>
    <x:row r="253">
      <x:c r="A253" t="n">
        <x:v>252</x:v>
      </x:c>
      <x:c r="B253" s="22" t="n">
        <x:v>45902</x:v>
      </x:c>
      <x:c r="C253" t="str">
        <x:v>OC-2025-0252</x:v>
      </x:c>
      <x:c r="D253" t="str">
        <x:v>F-D004-202509-5742</x:v>
      </x:c>
      <x:c r="E253" t="str">
        <x:v>L2509-013-0252</x:v>
      </x:c>
      <x:c r="F253" t="str">
        <x:v>D004</x:v>
      </x:c>
      <x:c r="G253" s="32" t="str">
        <x:v>Distribuidora Salud Total</x:v>
      </x:c>
      <x:c r="H253" t="str">
        <x:v>MED013</x:v>
      </x:c>
      <x:c r="I253" s="32" t="str">
        <x:v>Probióticos</x:v>
      </x:c>
      <x:c r="J253" s="32" t="str">
        <x:v>Gastrointestinales</x:v>
      </x:c>
      <x:c r="K253" s="32" t="str">
        <x:v>Laboratorios Bagó</x:v>
      </x:c>
      <x:c r="L253" s="32" t="str">
        <x:v>Caja x 10 sobres</x:v>
      </x:c>
      <x:c r="M253" s="28" t="n">
        <x:v>8</x:v>
      </x:c>
      <x:c r="N253" s="28" t="n">
        <x:v>20</x:v>
      </x:c>
      <x:c r="O253" s="28" t="n">
        <x:f>M253*N253</x:f>
        <x:v>160</x:v>
      </x:c>
      <x:c r="P253" s="24" t="n">
        <x:v>5.68</x:v>
      </x:c>
      <x:c r="Q253" s="26" t="n">
        <x:v>0.10098161940334688</x:v>
      </x:c>
      <x:c r="R253" s="24" t="n">
        <x:f>O253*P253*Q253</x:f>
        <x:v>91.77209571376164</x:v>
      </x:c>
      <x:c r="S253" s="24" t="n">
        <x:f>P253*(1-Q253)</x:f>
        <x:v>5.10642440178899</x:v>
      </x:c>
      <x:c r="T253" s="24" t="n">
        <x:f>O253*S253</x:f>
        <x:v>817.0279042862385</x:v>
      </x:c>
      <x:c r="U253" t="str">
        <x:v>CENTRO</x:v>
      </x:c>
      <x:c r="V253" t="str">
        <x:v>Farmacia Centro Histórico</x:v>
      </x:c>
      <x:c r="W253" t="str">
        <x:v>Zona Centro</x:v>
      </x:c>
      <x:c r="X253" t="str">
        <x:v>Quito</x:v>
      </x:c>
      <x:c r="Y253" s="32" t="str">
        <x:v>Guayaquil y Chile</x:v>
      </x:c>
      <x:c r="Z253" s="22" t="n">
        <x:v>45903</x:v>
      </x:c>
      <x:c r="AA253" t="str">
        <x:v>Recibido</x:v>
      </x:c>
      <x:c r="AB253" t="str">
        <x:v>45 días crédito</x:v>
      </x:c>
      <x:c r="AC253" s="32" t="str"/>
    </x:row>
    <x:row r="254">
      <x:c r="A254" t="n">
        <x:v>253</x:v>
      </x:c>
      <x:c r="B254" s="22" t="n">
        <x:v>46092</x:v>
      </x:c>
      <x:c r="C254" t="str">
        <x:v>OC-2026-0253</x:v>
      </x:c>
      <x:c r="D254" t="str">
        <x:v>F-D006-202603-3090</x:v>
      </x:c>
      <x:c r="E254" t="str">
        <x:v>L2603-008-0253</x:v>
      </x:c>
      <x:c r="F254" t="str">
        <x:v>D006</x:v>
      </x:c>
      <x:c r="G254" s="32" t="str">
        <x:v>Insumos Médicos del Pacífico</x:v>
      </x:c>
      <x:c r="H254" t="str">
        <x:v>MED008</x:v>
      </x:c>
      <x:c r="I254" s="32" t="str">
        <x:v>Diclofenaco gel</x:v>
      </x:c>
      <x:c r="J254" s="32" t="str">
        <x:v>Dermatológicos</x:v>
      </x:c>
      <x:c r="K254" s="32" t="str">
        <x:v>Bayer</x:v>
      </x:c>
      <x:c r="L254" s="32" t="str">
        <x:v>Tubo 50 g</x:v>
      </x:c>
      <x:c r="M254" s="28" t="n">
        <x:v>3</x:v>
      </x:c>
      <x:c r="N254" s="28" t="n">
        <x:v>50</x:v>
      </x:c>
      <x:c r="O254" s="28" t="n">
        <x:f>M254*N254</x:f>
        <x:v>150</x:v>
      </x:c>
      <x:c r="P254" s="24" t="n">
        <x:v>2.18</x:v>
      </x:c>
      <x:c r="Q254" s="26" t="n">
        <x:v>0.10117002868056657</x:v>
      </x:c>
      <x:c r="R254" s="24" t="n">
        <x:f>O254*P254*Q254</x:f>
        <x:v>33.08259937854527</x:v>
      </x:c>
      <x:c r="S254" s="24" t="n">
        <x:f>P254*(1-Q254)</x:f>
        <x:v>1.959449337476365</x:v>
      </x:c>
      <x:c r="T254" s="24" t="n">
        <x:f>O254*S254</x:f>
        <x:v>293.91740062145476</x:v>
      </x:c>
      <x:c r="U254" t="str">
        <x:v>CENTRO</x:v>
      </x:c>
      <x:c r="V254" t="str">
        <x:v>Farmacia Centro Histórico</x:v>
      </x:c>
      <x:c r="W254" t="str">
        <x:v>Zona Centro</x:v>
      </x:c>
      <x:c r="X254" t="str">
        <x:v>Quito</x:v>
      </x:c>
      <x:c r="Y254" s="32" t="str">
        <x:v>Guayaquil y Chile</x:v>
      </x:c>
      <x:c r="Z254" s="22" t="n">
        <x:v>46093</x:v>
      </x:c>
      <x:c r="AA254" t="str">
        <x:v>Recibido</x:v>
      </x:c>
      <x:c r="AB254" t="str">
        <x:v>60 días crédito</x:v>
      </x:c>
      <x:c r="AC254" s="32" t="str"/>
    </x:row>
    <x:row r="255">
      <x:c r="A255" t="n">
        <x:v>254</x:v>
      </x:c>
      <x:c r="B255" s="22" t="n">
        <x:v>46205</x:v>
      </x:c>
      <x:c r="C255" t="str">
        <x:v>OC-2026-0254</x:v>
      </x:c>
      <x:c r="D255" t="str">
        <x:v>F-D003-202607-3044</x:v>
      </x:c>
      <x:c r="E255" t="str">
        <x:v>L2607-014-0254</x:v>
      </x:c>
      <x:c r="F255" t="str">
        <x:v>D003</x:v>
      </x:c>
      <x:c r="G255" s="32" t="str">
        <x:v>FarmaLogística Sierra</x:v>
      </x:c>
      <x:c r="H255" t="str">
        <x:v>MED014</x:v>
      </x:c>
      <x:c r="I255" s="32" t="str">
        <x:v>Crema antimicótica</x:v>
      </x:c>
      <x:c r="J255" s="32" t="str">
        <x:v>Dermatológicos</x:v>
      </x:c>
      <x:c r="K255" s="32" t="str">
        <x:v>Acromax</x:v>
      </x:c>
      <x:c r="L255" s="32" t="str">
        <x:v>Tubo 30 g</x:v>
      </x:c>
      <x:c r="M255" s="28" t="n">
        <x:v>9</x:v>
      </x:c>
      <x:c r="N255" s="28" t="n">
        <x:v>24</x:v>
      </x:c>
      <x:c r="O255" s="28" t="n">
        <x:f>M255*N255</x:f>
        <x:v>216</x:v>
      </x:c>
      <x:c r="P255" s="24" t="n">
        <x:v>2.47</x:v>
      </x:c>
      <x:c r="Q255" s="26" t="n">
        <x:v>0.04961529490410397</x:v>
      </x:c>
      <x:c r="R255" s="24" t="n">
        <x:f>O255*P255*Q255</x:f>
        <x:v>26.470752137237554</x:v>
      </x:c>
      <x:c r="S255" s="24" t="n">
        <x:f>P255*(1-Q255)</x:f>
        <x:v>2.3474502215868633</x:v>
      </x:c>
      <x:c r="T255" s="24" t="n">
        <x:f>O255*S255</x:f>
        <x:v>507.04924786276246</x:v>
      </x:c>
      <x:c r="U255" t="str">
        <x:v>NORTE</x:v>
      </x:c>
      <x:c r="V255" t="str">
        <x:v>Farmacia Norte</x:v>
      </x:c>
      <x:c r="W255" t="str">
        <x:v>Zona Norte</x:v>
      </x:c>
      <x:c r="X255" t="str">
        <x:v>Quito</x:v>
      </x:c>
      <x:c r="Y255" s="32" t="str">
        <x:v>Av. 10 de Agosto N45-20</x:v>
      </x:c>
      <x:c r="Z255" s="22" t="n">
        <x:v>46206</x:v>
      </x:c>
      <x:c r="AA255" t="str">
        <x:v>Recibido</x:v>
      </x:c>
      <x:c r="AB255" t="str">
        <x:v>Contado contra entrega</x:v>
      </x:c>
      <x:c r="AC255" s="32" t="str"/>
    </x:row>
    <x:row r="256">
      <x:c r="A256" t="n">
        <x:v>255</x:v>
      </x:c>
      <x:c r="B256" s="22" t="n">
        <x:v>46328</x:v>
      </x:c>
      <x:c r="C256" t="str">
        <x:v>OC-2026-0255</x:v>
      </x:c>
      <x:c r="D256" t="str">
        <x:v>F-D006-202611-5562</x:v>
      </x:c>
      <x:c r="E256" t="str">
        <x:v>L2611-007-0255</x:v>
      </x:c>
      <x:c r="F256" t="str">
        <x:v>D006</x:v>
      </x:c>
      <x:c r="G256" s="32" t="str">
        <x:v>Insumos Médicos del Pacífico</x:v>
      </x:c>
      <x:c r="H256" t="str">
        <x:v>MED007</x:v>
      </x:c>
      <x:c r="I256" s="32" t="str">
        <x:v>Omeprazol 20 mg</x:v>
      </x:c>
      <x:c r="J256" s="32" t="str">
        <x:v>Gastrointestinales</x:v>
      </x:c>
      <x:c r="K256" s="32" t="str">
        <x:v>La Santé</x:v>
      </x:c>
      <x:c r="L256" s="32" t="str">
        <x:v>Caja x 30 cápsulas</x:v>
      </x:c>
      <x:c r="M256" s="28" t="n">
        <x:v>6</x:v>
      </x:c>
      <x:c r="N256" s="28" t="n">
        <x:v>30</x:v>
      </x:c>
      <x:c r="O256" s="28" t="n">
        <x:f>M256*N256</x:f>
        <x:v>180</x:v>
      </x:c>
      <x:c r="P256" s="24" t="n">
        <x:v>2.74</x:v>
      </x:c>
      <x:c r="Q256" s="26" t="n">
        <x:v>0.14244549945280474</x:v>
      </x:c>
      <x:c r="R256" s="24" t="n">
        <x:f>O256*P256*Q256</x:f>
        <x:v>70.2541203301233</x:v>
      </x:c>
      <x:c r="S256" s="24" t="n">
        <x:f>P256*(1-Q256)</x:f>
        <x:v>2.3496993314993153</x:v>
      </x:c>
      <x:c r="T256" s="24" t="n">
        <x:f>O256*S256</x:f>
        <x:v>422.9458796698768</x:v>
      </x:c>
      <x:c r="U256" t="str">
        <x:v>CENTRO</x:v>
      </x:c>
      <x:c r="V256" t="str">
        <x:v>Farmacia Centro Histórico</x:v>
      </x:c>
      <x:c r="W256" t="str">
        <x:v>Zona Centro</x:v>
      </x:c>
      <x:c r="X256" t="str">
        <x:v>Quito</x:v>
      </x:c>
      <x:c r="Y256" s="32" t="str">
        <x:v>Guayaquil y Chile</x:v>
      </x:c>
      <x:c r="Z256" s="22" t="n">
        <x:v>46330</x:v>
      </x:c>
      <x:c r="AA256" t="str">
        <x:v>Recibido</x:v>
      </x:c>
      <x:c r="AB256" t="str">
        <x:v>60 días crédito</x:v>
      </x:c>
      <x:c r="AC256" s="32" t="str">
        <x:v>Descuento por volumen</x:v>
      </x:c>
    </x:row>
    <x:row r="257">
      <x:c r="A257" t="n">
        <x:v>256</x:v>
      </x:c>
      <x:c r="B257" s="22" t="n">
        <x:v>45971</x:v>
      </x:c>
      <x:c r="C257" t="str">
        <x:v>OC-2025-0256</x:v>
      </x:c>
      <x:c r="D257" t="str">
        <x:v>F-D005-202511-8599</x:v>
      </x:c>
      <x:c r="E257" t="str">
        <x:v>L2511-008-0256</x:v>
      </x:c>
      <x:c r="F257" t="str">
        <x:v>D005</x:v>
      </x:c>
      <x:c r="G257" s="32" t="str">
        <x:v>PharmaExpress Quito</x:v>
      </x:c>
      <x:c r="H257" t="str">
        <x:v>MED008</x:v>
      </x:c>
      <x:c r="I257" s="32" t="str">
        <x:v>Diclofenaco gel</x:v>
      </x:c>
      <x:c r="J257" s="32" t="str">
        <x:v>Dermatológicos</x:v>
      </x:c>
      <x:c r="K257" s="32" t="str">
        <x:v>Bayer</x:v>
      </x:c>
      <x:c r="L257" s="32" t="str">
        <x:v>Tubo 50 g</x:v>
      </x:c>
      <x:c r="M257" s="28" t="n">
        <x:v>4</x:v>
      </x:c>
      <x:c r="N257" s="28" t="n">
        <x:v>50</x:v>
      </x:c>
      <x:c r="O257" s="28" t="n">
        <x:f>M257*N257</x:f>
        <x:v>200</x:v>
      </x:c>
      <x:c r="P257" s="24" t="n">
        <x:v>2.15</x:v>
      </x:c>
      <x:c r="Q257" s="26" t="n">
        <x:v>0.09084582809466268</x:v>
      </x:c>
      <x:c r="R257" s="24" t="n">
        <x:f>O257*P257*Q257</x:f>
        <x:v>39.063706080704954</x:v>
      </x:c>
      <x:c r="S257" s="24" t="n">
        <x:f>P257*(1-Q257)</x:f>
        <x:v>1.9546814695964752</x:v>
      </x:c>
      <x:c r="T257" s="24" t="n">
        <x:f>O257*S257</x:f>
        <x:v>390.93629391929505</x:v>
      </x:c>
      <x:c r="U257" t="str">
        <x:v>CENTRO</x:v>
      </x:c>
      <x:c r="V257" t="str">
        <x:v>Farmacia Centro Histórico</x:v>
      </x:c>
      <x:c r="W257" t="str">
        <x:v>Zona Centro</x:v>
      </x:c>
      <x:c r="X257" t="str">
        <x:v>Quito</x:v>
      </x:c>
      <x:c r="Y257" s="32" t="str">
        <x:v>Guayaquil y Chile</x:v>
      </x:c>
      <x:c r="Z257" s="22" t="n">
        <x:v>45972</x:v>
      </x:c>
      <x:c r="AA257" t="str">
        <x:v>Recibido</x:v>
      </x:c>
      <x:c r="AB257" t="str">
        <x:v>30 días crédito</x:v>
      </x:c>
      <x:c r="AC257" s="32" t="str"/>
    </x:row>
    <x:row r="258">
      <x:c r="A258" t="n">
        <x:v>257</x:v>
      </x:c>
      <x:c r="B258" s="22" t="n">
        <x:v>46006</x:v>
      </x:c>
      <x:c r="C258" t="str">
        <x:v>OC-2025-0257</x:v>
      </x:c>
      <x:c r="D258" t="str">
        <x:v>F-D006-202512-3743</x:v>
      </x:c>
      <x:c r="E258" t="str">
        <x:v>L2512-002-0257</x:v>
      </x:c>
      <x:c r="F258" t="str">
        <x:v>D006</x:v>
      </x:c>
      <x:c r="G258" s="32" t="str">
        <x:v>Insumos Médicos del Pacífico</x:v>
      </x:c>
      <x:c r="H258" t="str">
        <x:v>MED002</x:v>
      </x:c>
      <x:c r="I258" s="32" t="str">
        <x:v>Ibuprofeno 400 mg</x:v>
      </x:c>
      <x:c r="J258" s="32" t="str">
        <x:v>Analgésicos</x:v>
      </x:c>
      <x:c r="K258" s="32" t="str">
        <x:v>La Santé</x:v>
      </x:c>
      <x:c r="L258" s="32" t="str">
        <x:v>Caja x 20 tabletas</x:v>
      </x:c>
      <x:c r="M258" s="28" t="n">
        <x:v>4</x:v>
      </x:c>
      <x:c r="N258" s="28" t="n">
        <x:v>60</x:v>
      </x:c>
      <x:c r="O258" s="28" t="n">
        <x:f>M258*N258</x:f>
        <x:v>240</x:v>
      </x:c>
      <x:c r="P258" s="24" t="n">
        <x:v>1.23</x:v>
      </x:c>
      <x:c r="Q258" s="26" t="n">
        <x:v>0.1202735925534582</x:v>
      </x:c>
      <x:c r="R258" s="24" t="n">
        <x:f>O258*P258*Q258</x:f>
        <x:v>35.50476452178086</x:v>
      </x:c>
      <x:c r="S258" s="24" t="n">
        <x:f>P258*(1-Q258)</x:f>
        <x:v>1.0820634811592464</x:v>
      </x:c>
      <x:c r="T258" s="24" t="n">
        <x:f>O258*S258</x:f>
        <x:v>259.69523547821916</x:v>
      </x:c>
      <x:c r="U258" t="str">
        <x:v>NORTE</x:v>
      </x:c>
      <x:c r="V258" t="str">
        <x:v>Farmacia Norte</x:v>
      </x:c>
      <x:c r="W258" t="str">
        <x:v>Zona Norte</x:v>
      </x:c>
      <x:c r="X258" t="str">
        <x:v>Quito</x:v>
      </x:c>
      <x:c r="Y258" s="32" t="str">
        <x:v>Av. 10 de Agosto N45-20</x:v>
      </x:c>
      <x:c r="Z258" s="22" t="n">
        <x:v>46008</x:v>
      </x:c>
      <x:c r="AA258" t="str">
        <x:v>Recibido</x:v>
      </x:c>
      <x:c r="AB258" t="str">
        <x:v>60 días crédito</x:v>
      </x:c>
      <x:c r="AC258" s="32" t="str"/>
    </x:row>
    <x:row r="259">
      <x:c r="A259" t="n">
        <x:v>258</x:v>
      </x:c>
      <x:c r="B259" s="22" t="n">
        <x:v>46103</x:v>
      </x:c>
      <x:c r="C259" t="str">
        <x:v>OC-2026-0258</x:v>
      </x:c>
      <x:c r="D259" t="str">
        <x:v>F-D003-202603-9886</x:v>
      </x:c>
      <x:c r="E259" t="str">
        <x:v>L2603-002-0258</x:v>
      </x:c>
      <x:c r="F259" t="str">
        <x:v>D003</x:v>
      </x:c>
      <x:c r="G259" s="32" t="str">
        <x:v>FarmaLogística Sierra</x:v>
      </x:c>
      <x:c r="H259" t="str">
        <x:v>MED002</x:v>
      </x:c>
      <x:c r="I259" s="32" t="str">
        <x:v>Ibuprofeno 400 mg</x:v>
      </x:c>
      <x:c r="J259" s="32" t="str">
        <x:v>Analgésicos</x:v>
      </x:c>
      <x:c r="K259" s="32" t="str">
        <x:v>La Santé</x:v>
      </x:c>
      <x:c r="L259" s="32" t="str">
        <x:v>Caja x 20 tabletas</x:v>
      </x:c>
      <x:c r="M259" s="28" t="n">
        <x:v>60</x:v>
      </x:c>
      <x:c r="N259" s="28" t="n">
        <x:v>10</x:v>
      </x:c>
      <x:c r="O259" s="28" t="n">
        <x:f>M259*N259</x:f>
        <x:v>600</x:v>
      </x:c>
      <x:c r="P259" s="24" t="n">
        <x:v>1.16</x:v>
      </x:c>
      <x:c r="Q259" s="26" t="n">
        <x:v>0.07812513043910609</x:v>
      </x:c>
      <x:c r="R259" s="24" t="n">
        <x:f>O259*P259*Q259</x:f>
        <x:v>54.375090785617836</x:v>
      </x:c>
      <x:c r="S259" s="24" t="n">
        <x:f>P259*(1-Q259)</x:f>
        <x:v>1.069374848690637</x:v>
      </x:c>
      <x:c r="T259" s="24" t="n">
        <x:f>O259*S259</x:f>
        <x:v>641.6249092143821</x:v>
      </x:c>
      <x:c r="U259" t="str">
        <x:v>SUR</x:v>
      </x:c>
      <x:c r="V259" t="str">
        <x:v>Farmacia del Sur</x:v>
      </x:c>
      <x:c r="W259" t="str">
        <x:v>Zona Sur</x:v>
      </x:c>
      <x:c r="X259" t="str">
        <x:v>Quito</x:v>
      </x:c>
      <x:c r="Y259" s="32" t="str">
        <x:v>Av. Maldonado S25-10</x:v>
      </x:c>
      <x:c r="Z259" s="22" t="n">
        <x:v>46105</x:v>
      </x:c>
      <x:c r="AA259" t="str">
        <x:v>Recibido</x:v>
      </x:c>
      <x:c r="AB259" t="str">
        <x:v>Contado contra entrega</x:v>
      </x:c>
      <x:c r="AC259" s="32" t="str"/>
    </x:row>
    <x:row r="260">
      <x:c r="A260" t="n">
        <x:v>259</x:v>
      </x:c>
      <x:c r="B260" s="22" t="n">
        <x:v>46171</x:v>
      </x:c>
      <x:c r="C260" t="str">
        <x:v>OC-2026-0259</x:v>
      </x:c>
      <x:c r="D260" t="str">
        <x:v>F-D006-202605-9874</x:v>
      </x:c>
      <x:c r="E260" t="str">
        <x:v>L2605-007-0259</x:v>
      </x:c>
      <x:c r="F260" t="str">
        <x:v>D006</x:v>
      </x:c>
      <x:c r="G260" s="32" t="str">
        <x:v>Insumos Médicos del Pacífico</x:v>
      </x:c>
      <x:c r="H260" t="str">
        <x:v>MED007</x:v>
      </x:c>
      <x:c r="I260" s="32" t="str">
        <x:v>Omeprazol 20 mg</x:v>
      </x:c>
      <x:c r="J260" s="32" t="str">
        <x:v>Gastrointestinales</x:v>
      </x:c>
      <x:c r="K260" s="32" t="str">
        <x:v>La Santé</x:v>
      </x:c>
      <x:c r="L260" s="32" t="str">
        <x:v>Caja x 30 cápsulas</x:v>
      </x:c>
      <x:c r="M260" s="28" t="n">
        <x:v>3</x:v>
      </x:c>
      <x:c r="N260" s="28" t="n">
        <x:v>50</x:v>
      </x:c>
      <x:c r="O260" s="28" t="n">
        <x:f>M260*N260</x:f>
        <x:v>150</x:v>
      </x:c>
      <x:c r="P260" s="24" t="n">
        <x:v>3.15</x:v>
      </x:c>
      <x:c r="Q260" s="26" t="n">
        <x:v>0.10751326515276567</x:v>
      </x:c>
      <x:c r="R260" s="24" t="n">
        <x:f>O260*P260*Q260</x:f>
        <x:v>50.80001778468178</x:v>
      </x:c>
      <x:c r="S260" s="24" t="n">
        <x:f>P260*(1-Q260)</x:f>
        <x:v>2.811333214768788</x:v>
      </x:c>
      <x:c r="T260" s="24" t="n">
        <x:f>O260*S260</x:f>
        <x:v>421.6999822153182</x:v>
      </x:c>
      <x:c r="U260" t="str">
        <x:v>VALLE</x:v>
      </x:c>
      <x:c r="V260" t="str">
        <x:v>Farmacia Valle de los Chillos</x:v>
      </x:c>
      <x:c r="W260" t="str">
        <x:v>Zona Valle</x:v>
      </x:c>
      <x:c r="X260" t="str">
        <x:v>Sangolquí</x:v>
      </x:c>
      <x:c r="Y260" s="32" t="str">
        <x:v>Av. Calderón 101</x:v>
      </x:c>
      <x:c r="Z260" s="22" t="n">
        <x:v>46175</x:v>
      </x:c>
      <x:c r="AA260" t="str">
        <x:v>Recibido</x:v>
      </x:c>
      <x:c r="AB260" t="str">
        <x:v>60 días crédito</x:v>
      </x:c>
      <x:c r="AC260" s="32" t="str"/>
    </x:row>
    <x:row r="261">
      <x:c r="A261" t="n">
        <x:v>260</x:v>
      </x:c>
      <x:c r="B261" s="22" t="n">
        <x:v>45690</x:v>
      </x:c>
      <x:c r="C261" t="str">
        <x:v>OC-2025-0260</x:v>
      </x:c>
      <x:c r="D261" t="str">
        <x:v>F-D007-202502-6538</x:v>
      </x:c>
      <x:c r="E261" t="str">
        <x:v>L2502-006-0260</x:v>
      </x:c>
      <x:c r="F261" t="str">
        <x:v>D007</x:v>
      </x:c>
      <x:c r="G261" s="32" t="str">
        <x:v>Comercializadora BioFarma</x:v>
      </x:c>
      <x:c r="H261" t="str">
        <x:v>MED006</x:v>
      </x:c>
      <x:c r="I261" s="32" t="str">
        <x:v>Vitamina C 1 g</x:v>
      </x:c>
      <x:c r="J261" s="32" t="str">
        <x:v>Vitaminas</x:v>
      </x:c>
      <x:c r="K261" s="32" t="str">
        <x:v>Novartis</x:v>
      </x:c>
      <x:c r="L261" s="32" t="str">
        <x:v>Tubo x 10 efervescentes</x:v>
      </x:c>
      <x:c r="M261" s="28" t="n">
        <x:v>3</x:v>
      </x:c>
      <x:c r="N261" s="28" t="n">
        <x:v>20</x:v>
      </x:c>
      <x:c r="O261" s="28" t="n">
        <x:f>M261*N261</x:f>
        <x:v>60</x:v>
      </x:c>
      <x:c r="P261" s="24" t="n">
        <x:v>2.42</x:v>
      </x:c>
      <x:c r="Q261" s="26" t="n">
        <x:v>0.026324860005297778</x:v>
      </x:c>
      <x:c r="R261" s="24" t="n">
        <x:f>O261*P261*Q261</x:f>
        <x:v>3.822369672769237</x:v>
      </x:c>
      <x:c r="S261" s="24" t="n">
        <x:f>P261*(1-Q261)</x:f>
        <x:v>2.3562938387871792</x:v>
      </x:c>
      <x:c r="T261" s="24" t="n">
        <x:f>O261*S261</x:f>
        <x:v>141.37763032723075</x:v>
      </x:c>
      <x:c r="U261" t="str">
        <x:v>NORTE</x:v>
      </x:c>
      <x:c r="V261" t="str">
        <x:v>Farmacia Norte</x:v>
      </x:c>
      <x:c r="W261" t="str">
        <x:v>Zona Norte</x:v>
      </x:c>
      <x:c r="X261" t="str">
        <x:v>Quito</x:v>
      </x:c>
      <x:c r="Y261" s="32" t="str">
        <x:v>Av. 10 de Agosto N45-20</x:v>
      </x:c>
      <x:c r="Z261" s="22" t="n">
        <x:v>45691</x:v>
      </x:c>
      <x:c r="AA261" t="str">
        <x:v>Recibido</x:v>
      </x:c>
      <x:c r="AB261" t="str">
        <x:v>15 días crédito</x:v>
      </x:c>
      <x:c r="AC261" s="32" t="str"/>
    </x:row>
    <x:row r="262">
      <x:c r="A262" t="n">
        <x:v>261</x:v>
      </x:c>
      <x:c r="B262" s="22" t="n">
        <x:v>45693</x:v>
      </x:c>
      <x:c r="C262" t="str">
        <x:v>OC-2025-0261</x:v>
      </x:c>
      <x:c r="D262" t="str">
        <x:v>F-D004-202502-9034</x:v>
      </x:c>
      <x:c r="E262" t="str">
        <x:v>L2502-014-0261</x:v>
      </x:c>
      <x:c r="F262" t="str">
        <x:v>D004</x:v>
      </x:c>
      <x:c r="G262" s="32" t="str">
        <x:v>Distribuidora Salud Total</x:v>
      </x:c>
      <x:c r="H262" t="str">
        <x:v>MED014</x:v>
      </x:c>
      <x:c r="I262" s="32" t="str">
        <x:v>Crema antimicótica</x:v>
      </x:c>
      <x:c r="J262" s="32" t="str">
        <x:v>Dermatológicos</x:v>
      </x:c>
      <x:c r="K262" s="32" t="str">
        <x:v>Acromax</x:v>
      </x:c>
      <x:c r="L262" s="32" t="str">
        <x:v>Tubo 30 g</x:v>
      </x:c>
      <x:c r="M262" s="28" t="n">
        <x:v>6</x:v>
      </x:c>
      <x:c r="N262" s="28" t="n">
        <x:v>10</x:v>
      </x:c>
      <x:c r="O262" s="28" t="n">
        <x:f>M262*N262</x:f>
        <x:v>60</x:v>
      </x:c>
      <x:c r="P262" s="24" t="n">
        <x:v>2.13</x:v>
      </x:c>
      <x:c r="Q262" s="26" t="n">
        <x:v>0.09991585237985207</x:v>
      </x:c>
      <x:c r="R262" s="24" t="n">
        <x:f>O262*P262*Q262</x:f>
        <x:v>12.769245934145093</x:v>
      </x:c>
      <x:c r="S262" s="24" t="n">
        <x:f>P262*(1-Q262)</x:f>
        <x:v>1.917179234430915</x:v>
      </x:c>
      <x:c r="T262" s="24" t="n">
        <x:f>O262*S262</x:f>
        <x:v>115.03075406585491</x:v>
      </x:c>
      <x:c r="U262" t="str">
        <x:v>NORTE</x:v>
      </x:c>
      <x:c r="V262" t="str">
        <x:v>Farmacia Norte</x:v>
      </x:c>
      <x:c r="W262" t="str">
        <x:v>Zona Norte</x:v>
      </x:c>
      <x:c r="X262" t="str">
        <x:v>Quito</x:v>
      </x:c>
      <x:c r="Y262" s="32" t="str">
        <x:v>Av. 10 de Agosto N45-20</x:v>
      </x:c>
      <x:c r="Z262" s="22" t="n">
        <x:v>45695</x:v>
      </x:c>
      <x:c r="AA262" t="str">
        <x:v>Recibido</x:v>
      </x:c>
      <x:c r="AB262" t="str">
        <x:v>45 días crédito</x:v>
      </x:c>
      <x:c r="AC262" s="32" t="str"/>
    </x:row>
    <x:row r="263">
      <x:c r="A263" t="n">
        <x:v>262</x:v>
      </x:c>
      <x:c r="B263" s="22" t="n">
        <x:v>46098</x:v>
      </x:c>
      <x:c r="C263" t="str">
        <x:v>OC-2026-0262</x:v>
      </x:c>
      <x:c r="D263" t="str">
        <x:v>F-D006-202603-1416</x:v>
      </x:c>
      <x:c r="E263" t="str">
        <x:v>L2603-013-0262</x:v>
      </x:c>
      <x:c r="F263" t="str">
        <x:v>D006</x:v>
      </x:c>
      <x:c r="G263" s="32" t="str">
        <x:v>Insumos Médicos del Pacífico</x:v>
      </x:c>
      <x:c r="H263" t="str">
        <x:v>MED013</x:v>
      </x:c>
      <x:c r="I263" s="32" t="str">
        <x:v>Probióticos</x:v>
      </x:c>
      <x:c r="J263" s="32" t="str">
        <x:v>Gastrointestinales</x:v>
      </x:c>
      <x:c r="K263" s="32" t="str">
        <x:v>Laboratorios Bagó</x:v>
      </x:c>
      <x:c r="L263" s="32" t="str">
        <x:v>Caja x 10 sobres</x:v>
      </x:c>
      <x:c r="M263" s="28" t="n">
        <x:v>10</x:v>
      </x:c>
      <x:c r="N263" s="28" t="n">
        <x:v>50</x:v>
      </x:c>
      <x:c r="O263" s="28" t="n">
        <x:f>M263*N263</x:f>
        <x:v>500</x:v>
      </x:c>
      <x:c r="P263" s="24" t="n">
        <x:v>5.9</x:v>
      </x:c>
      <x:c r="Q263" s="26" t="n">
        <x:v>0.15384183976682558</x:v>
      </x:c>
      <x:c r="R263" s="24" t="n">
        <x:f>O263*P263*Q263</x:f>
        <x:v>453.8334273121355</x:v>
      </x:c>
      <x:c r="S263" s="24" t="n">
        <x:f>P263*(1-Q263)</x:f>
        <x:v>4.99233314537573</x:v>
      </x:c>
      <x:c r="T263" s="24" t="n">
        <x:f>O263*S263</x:f>
        <x:v>2496.1665726878646</x:v>
      </x:c>
      <x:c r="U263" t="str">
        <x:v>NORTE</x:v>
      </x:c>
      <x:c r="V263" t="str">
        <x:v>Farmacia Norte</x:v>
      </x:c>
      <x:c r="W263" t="str">
        <x:v>Zona Norte</x:v>
      </x:c>
      <x:c r="X263" t="str">
        <x:v>Quito</x:v>
      </x:c>
      <x:c r="Y263" s="32" t="str">
        <x:v>Av. 10 de Agosto N45-20</x:v>
      </x:c>
      <x:c r="Z263" s="22" t="n">
        <x:v>46101</x:v>
      </x:c>
      <x:c r="AA263" t="str">
        <x:v>Recibido</x:v>
      </x:c>
      <x:c r="AB263" t="str">
        <x:v>60 días crédito</x:v>
      </x:c>
      <x:c r="AC263" s="32" t="str">
        <x:v>Descuento por volumen</x:v>
      </x:c>
    </x:row>
    <x:row r="264">
      <x:c r="A264" t="n">
        <x:v>263</x:v>
      </x:c>
      <x:c r="B264" s="22" t="n">
        <x:v>45725</x:v>
      </x:c>
      <x:c r="C264" t="str">
        <x:v>OC-2025-0263</x:v>
      </x:c>
      <x:c r="D264" t="str">
        <x:v>F-D006-202503-6081</x:v>
      </x:c>
      <x:c r="E264" t="str">
        <x:v>L2503-013-0263</x:v>
      </x:c>
      <x:c r="F264" t="str">
        <x:v>D006</x:v>
      </x:c>
      <x:c r="G264" s="32" t="str">
        <x:v>Insumos Médicos del Pacífico</x:v>
      </x:c>
      <x:c r="H264" t="str">
        <x:v>MED013</x:v>
      </x:c>
      <x:c r="I264" s="32" t="str">
        <x:v>Probióticos</x:v>
      </x:c>
      <x:c r="J264" s="32" t="str">
        <x:v>Gastrointestinales</x:v>
      </x:c>
      <x:c r="K264" s="32" t="str">
        <x:v>Laboratorios Bagó</x:v>
      </x:c>
      <x:c r="L264" s="32" t="str">
        <x:v>Caja x 10 sobres</x:v>
      </x:c>
      <x:c r="M264" s="28" t="n">
        <x:v>60</x:v>
      </x:c>
      <x:c r="N264" s="28" t="n">
        <x:v>10</x:v>
      </x:c>
      <x:c r="O264" s="28" t="n">
        <x:f>M264*N264</x:f>
        <x:v>600</x:v>
      </x:c>
      <x:c r="P264" s="24" t="n">
        <x:v>6.05</x:v>
      </x:c>
      <x:c r="Q264" s="26" t="n">
        <x:v>0.13561052819793742</x:v>
      </x:c>
      <x:c r="R264" s="24" t="n">
        <x:f>O264*P264*Q264</x:f>
        <x:v>492.26621735851285</x:v>
      </x:c>
      <x:c r="S264" s="24" t="n">
        <x:f>P264*(1-Q264)</x:f>
        <x:v>5.229556304402479</x:v>
      </x:c>
      <x:c r="T264" s="24" t="n">
        <x:f>O264*S264</x:f>
        <x:v>3137.7337826414873</x:v>
      </x:c>
      <x:c r="U264" t="str">
        <x:v>CENTRO</x:v>
      </x:c>
      <x:c r="V264" t="str">
        <x:v>Farmacia Centro Histórico</x:v>
      </x:c>
      <x:c r="W264" t="str">
        <x:v>Zona Centro</x:v>
      </x:c>
      <x:c r="X264" t="str">
        <x:v>Quito</x:v>
      </x:c>
      <x:c r="Y264" s="32" t="str">
        <x:v>Guayaquil y Chile</x:v>
      </x:c>
      <x:c r="Z264" s="22" t="n">
        <x:v>45726</x:v>
      </x:c>
      <x:c r="AA264" t="str">
        <x:v>Recibido</x:v>
      </x:c>
      <x:c r="AB264" t="str">
        <x:v>60 días crédito</x:v>
      </x:c>
      <x:c r="AC264" s="32" t="str">
        <x:v>Descuento por volumen</x:v>
      </x:c>
    </x:row>
    <x:row r="265">
      <x:c r="A265" t="n">
        <x:v>264</x:v>
      </x:c>
      <x:c r="B265" s="22" t="n">
        <x:v>46038</x:v>
      </x:c>
      <x:c r="C265" t="str">
        <x:v>OC-2026-0264</x:v>
      </x:c>
      <x:c r="D265" t="str">
        <x:v>F-D007-202601-4024</x:v>
      </x:c>
      <x:c r="E265" t="str">
        <x:v>L2601-012-0264</x:v>
      </x:c>
      <x:c r="F265" t="str">
        <x:v>D007</x:v>
      </x:c>
      <x:c r="G265" s="32" t="str">
        <x:v>Comercializadora BioFarma</x:v>
      </x:c>
      <x:c r="H265" t="str">
        <x:v>MED012</x:v>
      </x:c>
      <x:c r="I265" s="32" t="str">
        <x:v>Multivitamínico adulto</x:v>
      </x:c>
      <x:c r="J265" s="32" t="str">
        <x:v>Vitaminas</x:v>
      </x:c>
      <x:c r="K265" s="32" t="str">
        <x:v>Novartis</x:v>
      </x:c>
      <x:c r="L265" s="32" t="str">
        <x:v>Frasco x 30 tabletas</x:v>
      </x:c>
      <x:c r="M265" s="28" t="n">
        <x:v>4</x:v>
      </x:c>
      <x:c r="N265" s="28" t="n">
        <x:v>20</x:v>
      </x:c>
      <x:c r="O265" s="28" t="n">
        <x:f>M265*N265</x:f>
        <x:v>80</x:v>
      </x:c>
      <x:c r="P265" s="24" t="n">
        <x:v>4.08</x:v>
      </x:c>
      <x:c r="Q265" s="26" t="n">
        <x:v>0.05079470490816821</x:v>
      </x:c>
      <x:c r="R265" s="24" t="n">
        <x:f>O265*P265*Q265</x:f>
        <x:v>16.579391682026102</x:v>
      </x:c>
      <x:c r="S265" s="24" t="n">
        <x:f>P265*(1-Q265)</x:f>
        <x:v>3.872757603974674</x:v>
      </x:c>
      <x:c r="T265" s="24" t="n">
        <x:f>O265*S265</x:f>
        <x:v>309.8206083179739</x:v>
      </x:c>
      <x:c r="U265" t="str">
        <x:v>SUR</x:v>
      </x:c>
      <x:c r="V265" t="str">
        <x:v>Farmacia del Sur</x:v>
      </x:c>
      <x:c r="W265" t="str">
        <x:v>Zona Sur</x:v>
      </x:c>
      <x:c r="X265" t="str">
        <x:v>Quito</x:v>
      </x:c>
      <x:c r="Y265" s="32" t="str">
        <x:v>Av. Maldonado S25-10</x:v>
      </x:c>
      <x:c r="Z265" s="22" t="n">
        <x:v>46040</x:v>
      </x:c>
      <x:c r="AA265" t="str">
        <x:v>Recibido</x:v>
      </x:c>
      <x:c r="AB265" t="str">
        <x:v>15 días crédito</x:v>
      </x:c>
      <x:c r="AC265" s="32" t="str">
        <x:v>Entrega coordinada fuera de horario regular</x:v>
      </x:c>
    </x:row>
    <x:row r="266">
      <x:c r="A266" t="n">
        <x:v>265</x:v>
      </x:c>
      <x:c r="B266" s="22" t="n">
        <x:v>46180</x:v>
      </x:c>
      <x:c r="C266" t="str">
        <x:v>OC-2026-0265</x:v>
      </x:c>
      <x:c r="D266" t="str">
        <x:v>F-D003-202606-3522</x:v>
      </x:c>
      <x:c r="E266" t="str">
        <x:v>L2606-001-0265</x:v>
      </x:c>
      <x:c r="F266" t="str">
        <x:v>D003</x:v>
      </x:c>
      <x:c r="G266" s="32" t="str">
        <x:v>FarmaLogística Sierra</x:v>
      </x:c>
      <x:c r="H266" t="str">
        <x:v>MED001</x:v>
      </x:c>
      <x:c r="I266" s="32" t="str">
        <x:v>Paracetamol 500 mg</x:v>
      </x:c>
      <x:c r="J266" s="32" t="str">
        <x:v>Analgésicos</x:v>
      </x:c>
      <x:c r="K266" s="32" t="str">
        <x:v>Genfar</x:v>
      </x:c>
      <x:c r="L266" s="32" t="str">
        <x:v>Caja x 20 tabletas</x:v>
      </x:c>
      <x:c r="M266" s="28" t="n">
        <x:v>36</x:v>
      </x:c>
      <x:c r="N266" s="28" t="n">
        <x:v>10</x:v>
      </x:c>
      <x:c r="O266" s="28" t="n">
        <x:f>M266*N266</x:f>
        <x:v>360</x:v>
      </x:c>
      <x:c r="P266" s="24" t="n">
        <x:v>0.98</x:v>
      </x:c>
      <x:c r="Q266" s="26" t="n">
        <x:v>0.039128489900552024</x:v>
      </x:c>
      <x:c r="R266" s="24" t="n">
        <x:f>O266*P266*Q266</x:f>
        <x:v>13.804531236914755</x:v>
      </x:c>
      <x:c r="S266" s="24" t="n">
        <x:f>P266*(1-Q266)</x:f>
        <x:v>0.941654079897459</x:v>
      </x:c>
      <x:c r="T266" s="24" t="n">
        <x:f>O266*S266</x:f>
        <x:v>338.9954687630852</x:v>
      </x:c>
      <x:c r="U266" t="str">
        <x:v>CENTRO</x:v>
      </x:c>
      <x:c r="V266" t="str">
        <x:v>Farmacia Centro Histórico</x:v>
      </x:c>
      <x:c r="W266" t="str">
        <x:v>Zona Centro</x:v>
      </x:c>
      <x:c r="X266" t="str">
        <x:v>Quito</x:v>
      </x:c>
      <x:c r="Y266" s="32" t="str">
        <x:v>Guayaquil y Chile</x:v>
      </x:c>
      <x:c r="Z266" s="22" t="n">
        <x:v>46181</x:v>
      </x:c>
      <x:c r="AA266" t="str">
        <x:v>Recibido</x:v>
      </x:c>
      <x:c r="AB266" t="str">
        <x:v>Contado contra entrega</x:v>
      </x:c>
      <x:c r="AC266" s="32" t="str"/>
    </x:row>
    <x:row r="267">
      <x:c r="A267" t="n">
        <x:v>266</x:v>
      </x:c>
      <x:c r="B267" s="22" t="n">
        <x:v>45759</x:v>
      </x:c>
      <x:c r="C267" t="str">
        <x:v>OC-2025-0266</x:v>
      </x:c>
      <x:c r="D267" t="str">
        <x:v>F-D007-202504-9075</x:v>
      </x:c>
      <x:c r="E267" t="str">
        <x:v>L2504-012-0266</x:v>
      </x:c>
      <x:c r="F267" t="str">
        <x:v>D007</x:v>
      </x:c>
      <x:c r="G267" s="32" t="str">
        <x:v>Comercializadora BioFarma</x:v>
      </x:c>
      <x:c r="H267" t="str">
        <x:v>MED012</x:v>
      </x:c>
      <x:c r="I267" s="32" t="str">
        <x:v>Multivitamínico adulto</x:v>
      </x:c>
      <x:c r="J267" s="32" t="str">
        <x:v>Vitaminas</x:v>
      </x:c>
      <x:c r="K267" s="32" t="str">
        <x:v>Novartis</x:v>
      </x:c>
      <x:c r="L267" s="32" t="str">
        <x:v>Frasco x 30 tabletas</x:v>
      </x:c>
      <x:c r="M267" s="28" t="n">
        <x:v>10</x:v>
      </x:c>
      <x:c r="N267" s="28" t="n">
        <x:v>60</x:v>
      </x:c>
      <x:c r="O267" s="28" t="n">
        <x:f>M267*N267</x:f>
        <x:v>600</x:v>
      </x:c>
      <x:c r="P267" s="24" t="n">
        <x:v>4.48</x:v>
      </x:c>
      <x:c r="Q267" s="26" t="n">
        <x:v>0.07832009876031273</x:v>
      </x:c>
      <x:c r="R267" s="24" t="n">
        <x:f>O267*P267*Q267</x:f>
        <x:v>210.52442546772068</x:v>
      </x:c>
      <x:c r="S267" s="24" t="n">
        <x:f>P267*(1-Q267)</x:f>
        <x:v>4.129125957553799</x:v>
      </x:c>
      <x:c r="T267" s="24" t="n">
        <x:f>O267*S267</x:f>
        <x:v>2477.4755745322796</x:v>
      </x:c>
      <x:c r="U267" t="str">
        <x:v>VALLE</x:v>
      </x:c>
      <x:c r="V267" t="str">
        <x:v>Farmacia Valle de los Chillos</x:v>
      </x:c>
      <x:c r="W267" t="str">
        <x:v>Zona Valle</x:v>
      </x:c>
      <x:c r="X267" t="str">
        <x:v>Sangolquí</x:v>
      </x:c>
      <x:c r="Y267" s="32" t="str">
        <x:v>Av. Calderón 101</x:v>
      </x:c>
      <x:c r="Z267" s="22" t="n">
        <x:v>45764</x:v>
      </x:c>
      <x:c r="AA267" t="str">
        <x:v>Recibido</x:v>
      </x:c>
      <x:c r="AB267" t="str">
        <x:v>15 días crédito</x:v>
      </x:c>
      <x:c r="AC267" s="32" t="str"/>
    </x:row>
    <x:row r="268">
      <x:c r="A268" t="n">
        <x:v>267</x:v>
      </x:c>
      <x:c r="B268" s="22" t="n">
        <x:v>46083</x:v>
      </x:c>
      <x:c r="C268" t="str">
        <x:v>OC-2026-0267</x:v>
      </x:c>
      <x:c r="D268" t="str">
        <x:v>F-D003-202603-8851</x:v>
      </x:c>
      <x:c r="E268" t="str">
        <x:v>L2603-014-0267</x:v>
      </x:c>
      <x:c r="F268" t="str">
        <x:v>D003</x:v>
      </x:c>
      <x:c r="G268" s="32" t="str">
        <x:v>FarmaLogística Sierra</x:v>
      </x:c>
      <x:c r="H268" t="str">
        <x:v>MED014</x:v>
      </x:c>
      <x:c r="I268" s="32" t="str">
        <x:v>Crema antimicótica</x:v>
      </x:c>
      <x:c r="J268" s="32" t="str">
        <x:v>Dermatológicos</x:v>
      </x:c>
      <x:c r="K268" s="32" t="str">
        <x:v>Acromax</x:v>
      </x:c>
      <x:c r="L268" s="32" t="str">
        <x:v>Tubo 30 g</x:v>
      </x:c>
      <x:c r="M268" s="28" t="n">
        <x:v>5</x:v>
      </x:c>
      <x:c r="N268" s="28" t="n">
        <x:v>30</x:v>
      </x:c>
      <x:c r="O268" s="28" t="n">
        <x:f>M268*N268</x:f>
        <x:v>150</x:v>
      </x:c>
      <x:c r="P268" s="24" t="n">
        <x:v>2.17</x:v>
      </x:c>
      <x:c r="Q268" s="26" t="n">
        <x:v>0.03673291061713018</x:v>
      </x:c>
      <x:c r="R268" s="24" t="n">
        <x:f>O268*P268*Q268</x:f>
        <x:v>11.956562405875873</x:v>
      </x:c>
      <x:c r="S268" s="24" t="n">
        <x:f>P268*(1-Q268)</x:f>
        <x:v>2.0902895839608275</x:v>
      </x:c>
      <x:c r="T268" s="24" t="n">
        <x:f>O268*S268</x:f>
        <x:v>313.54343759412416</x:v>
      </x:c>
      <x:c r="U268" t="str">
        <x:v>NORTE</x:v>
      </x:c>
      <x:c r="V268" t="str">
        <x:v>Farmacia Norte</x:v>
      </x:c>
      <x:c r="W268" t="str">
        <x:v>Zona Norte</x:v>
      </x:c>
      <x:c r="X268" t="str">
        <x:v>Quito</x:v>
      </x:c>
      <x:c r="Y268" s="32" t="str">
        <x:v>Av. 10 de Agosto N45-20</x:v>
      </x:c>
      <x:c r="Z268" s="22" t="n">
        <x:v>46086</x:v>
      </x:c>
      <x:c r="AA268" t="str">
        <x:v>Recibido</x:v>
      </x:c>
      <x:c r="AB268" t="str">
        <x:v>Contado contra entrega</x:v>
      </x:c>
      <x:c r="AC268" s="32" t="str"/>
    </x:row>
    <x:row r="269">
      <x:c r="A269" t="n">
        <x:v>268</x:v>
      </x:c>
      <x:c r="B269" s="22" t="n">
        <x:v>46128</x:v>
      </x:c>
      <x:c r="C269" t="str">
        <x:v>OC-2026-0268</x:v>
      </x:c>
      <x:c r="D269" t="str">
        <x:v>F-D007-202604-4551</x:v>
      </x:c>
      <x:c r="E269" t="str">
        <x:v>L2604-006-0268</x:v>
      </x:c>
      <x:c r="F269" t="str">
        <x:v>D007</x:v>
      </x:c>
      <x:c r="G269" s="32" t="str">
        <x:v>Comercializadora BioFarma</x:v>
      </x:c>
      <x:c r="H269" t="str">
        <x:v>MED006</x:v>
      </x:c>
      <x:c r="I269" s="32" t="str">
        <x:v>Vitamina C 1 g</x:v>
      </x:c>
      <x:c r="J269" s="32" t="str">
        <x:v>Vitaminas</x:v>
      </x:c>
      <x:c r="K269" s="32" t="str">
        <x:v>Novartis</x:v>
      </x:c>
      <x:c r="L269" s="32" t="str">
        <x:v>Tubo x 10 efervescentes</x:v>
      </x:c>
      <x:c r="M269" s="28" t="n">
        <x:v>2</x:v>
      </x:c>
      <x:c r="N269" s="28" t="n">
        <x:v>60</x:v>
      </x:c>
      <x:c r="O269" s="28" t="n">
        <x:f>M269*N269</x:f>
        <x:v>120</x:v>
      </x:c>
      <x:c r="P269" s="24" t="n">
        <x:v>2.72</x:v>
      </x:c>
      <x:c r="Q269" s="26" t="n">
        <x:v>0.0772589052780877</x:v>
      </x:c>
      <x:c r="R269" s="24" t="n">
        <x:f>O269*P269*Q269</x:f>
        <x:v>25.217306682767827</x:v>
      </x:c>
      <x:c r="S269" s="24" t="n">
        <x:f>P269*(1-Q269)</x:f>
        <x:v>2.509855777643602</x:v>
      </x:c>
      <x:c r="T269" s="24" t="n">
        <x:f>O269*S269</x:f>
        <x:v>301.18269331723224</x:v>
      </x:c>
      <x:c r="U269" t="str">
        <x:v>CENTRO</x:v>
      </x:c>
      <x:c r="V269" t="str">
        <x:v>Farmacia Centro Histórico</x:v>
      </x:c>
      <x:c r="W269" t="str">
        <x:v>Zona Centro</x:v>
      </x:c>
      <x:c r="X269" t="str">
        <x:v>Quito</x:v>
      </x:c>
      <x:c r="Y269" s="32" t="str">
        <x:v>Guayaquil y Chile</x:v>
      </x:c>
      <x:c r="Z269" s="22" t="n">
        <x:v>46132</x:v>
      </x:c>
      <x:c r="AA269" t="str">
        <x:v>Recibido</x:v>
      </x:c>
      <x:c r="AB269" t="str">
        <x:v>15 días crédito</x:v>
      </x:c>
      <x:c r="AC269" s="32" t="str"/>
    </x:row>
    <x:row r="270">
      <x:c r="A270" t="n">
        <x:v>269</x:v>
      </x:c>
      <x:c r="B270" s="22" t="n">
        <x:v>46149</x:v>
      </x:c>
      <x:c r="C270" t="str">
        <x:v>OC-2026-0269</x:v>
      </x:c>
      <x:c r="D270" t="str">
        <x:v>F-D006-202605-6361</x:v>
      </x:c>
      <x:c r="E270" t="str">
        <x:v>L2605-007-0269</x:v>
      </x:c>
      <x:c r="F270" t="str">
        <x:v>D006</x:v>
      </x:c>
      <x:c r="G270" s="32" t="str">
        <x:v>Insumos Médicos del Pacífico</x:v>
      </x:c>
      <x:c r="H270" t="str">
        <x:v>MED007</x:v>
      </x:c>
      <x:c r="I270" s="32" t="str">
        <x:v>Omeprazol 20 mg</x:v>
      </x:c>
      <x:c r="J270" s="32" t="str">
        <x:v>Gastrointestinales</x:v>
      </x:c>
      <x:c r="K270" s="32" t="str">
        <x:v>La Santé</x:v>
      </x:c>
      <x:c r="L270" s="32" t="str">
        <x:v>Caja x 30 cápsulas</x:v>
      </x:c>
      <x:c r="M270" s="28" t="n">
        <x:v>8</x:v>
      </x:c>
      <x:c r="N270" s="28" t="n">
        <x:v>50</x:v>
      </x:c>
      <x:c r="O270" s="28" t="n">
        <x:f>M270*N270</x:f>
        <x:v>400</x:v>
      </x:c>
      <x:c r="P270" s="24" t="n">
        <x:v>2.94</x:v>
      </x:c>
      <x:c r="Q270" s="26" t="n">
        <x:v>0.12254834861864324</x:v>
      </x:c>
      <x:c r="R270" s="24" t="n">
        <x:f>O270*P270*Q270</x:f>
        <x:v>144.11685797552445</x:v>
      </x:c>
      <x:c r="S270" s="24" t="n">
        <x:f>P270*(1-Q270)</x:f>
        <x:v>2.579707855061189</x:v>
      </x:c>
      <x:c r="T270" s="24" t="n">
        <x:f>O270*S270</x:f>
        <x:v>1031.8831420244755</x:v>
      </x:c>
      <x:c r="U270" t="str">
        <x:v>VALLE</x:v>
      </x:c>
      <x:c r="V270" t="str">
        <x:v>Farmacia Valle de los Chillos</x:v>
      </x:c>
      <x:c r="W270" t="str">
        <x:v>Zona Valle</x:v>
      </x:c>
      <x:c r="X270" t="str">
        <x:v>Sangolquí</x:v>
      </x:c>
      <x:c r="Y270" s="32" t="str">
        <x:v>Av. Calderón 101</x:v>
      </x:c>
      <x:c r="Z270" s="22" t="n">
        <x:v>46151</x:v>
      </x:c>
      <x:c r="AA270" t="str">
        <x:v>Recibido</x:v>
      </x:c>
      <x:c r="AB270" t="str">
        <x:v>60 días crédito</x:v>
      </x:c>
      <x:c r="AC270" s="32" t="str">
        <x:v>Entrega coordinada fuera de horario regular</x:v>
      </x:c>
    </x:row>
    <x:row r="271">
      <x:c r="A271" t="n">
        <x:v>270</x:v>
      </x:c>
      <x:c r="B271" s="22" t="n">
        <x:v>46332</x:v>
      </x:c>
      <x:c r="C271" t="str">
        <x:v>OC-2026-0270</x:v>
      </x:c>
      <x:c r="D271" t="str">
        <x:v>F-D006-202611-4697</x:v>
      </x:c>
      <x:c r="E271" t="str">
        <x:v>L2611-007-0270</x:v>
      </x:c>
      <x:c r="F271" t="str">
        <x:v>D006</x:v>
      </x:c>
      <x:c r="G271" s="32" t="str">
        <x:v>Insumos Médicos del Pacífico</x:v>
      </x:c>
      <x:c r="H271" t="str">
        <x:v>MED007</x:v>
      </x:c>
      <x:c r="I271" s="32" t="str">
        <x:v>Omeprazol 20 mg</x:v>
      </x:c>
      <x:c r="J271" s="32" t="str">
        <x:v>Gastrointestinales</x:v>
      </x:c>
      <x:c r="K271" s="32" t="str">
        <x:v>La Santé</x:v>
      </x:c>
      <x:c r="L271" s="32" t="str">
        <x:v>Caja x 30 cápsulas</x:v>
      </x:c>
      <x:c r="M271" s="28" t="n">
        <x:v>6</x:v>
      </x:c>
      <x:c r="N271" s="28" t="n">
        <x:v>60</x:v>
      </x:c>
      <x:c r="O271" s="28" t="n">
        <x:f>M271*N271</x:f>
        <x:v>360</x:v>
      </x:c>
      <x:c r="P271" s="24" t="n">
        <x:v>2.91</x:v>
      </x:c>
      <x:c r="Q271" s="26" t="n">
        <x:v>0.12373382431791216</x:v>
      </x:c>
      <x:c r="R271" s="24" t="n">
        <x:f>O271*P271*Q271</x:f>
        <x:v>129.6235543554448</x:v>
      </x:c>
      <x:c r="S271" s="24" t="n">
        <x:f>P271*(1-Q271)</x:f>
        <x:v>2.5499345712348758</x:v>
      </x:c>
      <x:c r="T271" s="24" t="n">
        <x:f>O271*S271</x:f>
        <x:v>917.9764456445553</x:v>
      </x:c>
      <x:c r="U271" t="str">
        <x:v>VALLE</x:v>
      </x:c>
      <x:c r="V271" t="str">
        <x:v>Farmacia Valle de los Chillos</x:v>
      </x:c>
      <x:c r="W271" t="str">
        <x:v>Zona Valle</x:v>
      </x:c>
      <x:c r="X271" t="str">
        <x:v>Sangolquí</x:v>
      </x:c>
      <x:c r="Y271" s="32" t="str">
        <x:v>Av. Calderón 101</x:v>
      </x:c>
      <x:c r="Z271" s="22" t="n">
        <x:v>46333</x:v>
      </x:c>
      <x:c r="AA271" t="str">
        <x:v>Recibido</x:v>
      </x:c>
      <x:c r="AB271" t="str">
        <x:v>60 días crédito</x:v>
      </x:c>
      <x:c r="AC271" s="32" t="str">
        <x:v>Entrega coordinada fuera de horario regular</x:v>
      </x:c>
    </x:row>
    <x:row r="272">
      <x:c r="A272" t="n">
        <x:v>271</x:v>
      </x:c>
      <x:c r="B272" s="22" t="n">
        <x:v>45768</x:v>
      </x:c>
      <x:c r="C272" t="str">
        <x:v>OC-2025-0271</x:v>
      </x:c>
      <x:c r="D272" t="str">
        <x:v>F-D006-202504-3602</x:v>
      </x:c>
      <x:c r="E272" t="str">
        <x:v>L2504-013-0271</x:v>
      </x:c>
      <x:c r="F272" t="str">
        <x:v>D006</x:v>
      </x:c>
      <x:c r="G272" s="32" t="str">
        <x:v>Insumos Médicos del Pacífico</x:v>
      </x:c>
      <x:c r="H272" t="str">
        <x:v>MED013</x:v>
      </x:c>
      <x:c r="I272" s="32" t="str">
        <x:v>Probióticos</x:v>
      </x:c>
      <x:c r="J272" s="32" t="str">
        <x:v>Gastrointestinales</x:v>
      </x:c>
      <x:c r="K272" s="32" t="str">
        <x:v>Laboratorios Bagó</x:v>
      </x:c>
      <x:c r="L272" s="32" t="str">
        <x:v>Caja x 10 sobres</x:v>
      </x:c>
      <x:c r="M272" s="28" t="n">
        <x:v>10</x:v>
      </x:c>
      <x:c r="N272" s="28" t="n">
        <x:v>50</x:v>
      </x:c>
      <x:c r="O272" s="28" t="n">
        <x:f>M272*N272</x:f>
        <x:v>500</x:v>
      </x:c>
      <x:c r="P272" s="24" t="n">
        <x:v>5.94</x:v>
      </x:c>
      <x:c r="Q272" s="26" t="n">
        <x:v>0.13513309663531378</x:v>
      </x:c>
      <x:c r="R272" s="24" t="n">
        <x:f>O272*P272*Q272</x:f>
        <x:v>401.34529700688194</x:v>
      </x:c>
      <x:c r="S272" s="24" t="n">
        <x:f>P272*(1-Q272)</x:f>
        <x:v>5.137309405986236</x:v>
      </x:c>
      <x:c r="T272" s="24" t="n">
        <x:f>O272*S272</x:f>
        <x:v>2568.654702993118</x:v>
      </x:c>
      <x:c r="U272" t="str">
        <x:v>CENTRO</x:v>
      </x:c>
      <x:c r="V272" t="str">
        <x:v>Farmacia Centro Histórico</x:v>
      </x:c>
      <x:c r="W272" t="str">
        <x:v>Zona Centro</x:v>
      </x:c>
      <x:c r="X272" t="str">
        <x:v>Quito</x:v>
      </x:c>
      <x:c r="Y272" s="32" t="str">
        <x:v>Guayaquil y Chile</x:v>
      </x:c>
      <x:c r="Z272" s="22" t="n">
        <x:v>45773</x:v>
      </x:c>
      <x:c r="AA272" t="str">
        <x:v>Recibido</x:v>
      </x:c>
      <x:c r="AB272" t="str">
        <x:v>60 días crédito</x:v>
      </x:c>
      <x:c r="AC272" s="32" t="str">
        <x:v>Descuento por volumen</x:v>
      </x:c>
    </x:row>
    <x:row r="273">
      <x:c r="A273" t="n">
        <x:v>272</x:v>
      </x:c>
      <x:c r="B273" s="22" t="n">
        <x:v>45811</x:v>
      </x:c>
      <x:c r="C273" t="str">
        <x:v>OC-2025-0272</x:v>
      </x:c>
      <x:c r="D273" t="str">
        <x:v>F-D003-202506-5189</x:v>
      </x:c>
      <x:c r="E273" t="str">
        <x:v>L2506-007-0272</x:v>
      </x:c>
      <x:c r="F273" t="str">
        <x:v>D003</x:v>
      </x:c>
      <x:c r="G273" s="32" t="str">
        <x:v>FarmaLogística Sierra</x:v>
      </x:c>
      <x:c r="H273" t="str">
        <x:v>MED007</x:v>
      </x:c>
      <x:c r="I273" s="32" t="str">
        <x:v>Omeprazol 20 mg</x:v>
      </x:c>
      <x:c r="J273" s="32" t="str">
        <x:v>Gastrointestinales</x:v>
      </x:c>
      <x:c r="K273" s="32" t="str">
        <x:v>La Santé</x:v>
      </x:c>
      <x:c r="L273" s="32" t="str">
        <x:v>Caja x 30 cápsulas</x:v>
      </x:c>
      <x:c r="M273" s="28" t="n">
        <x:v>2</x:v>
      </x:c>
      <x:c r="N273" s="28" t="n">
        <x:v>60</x:v>
      </x:c>
      <x:c r="O273" s="28" t="n">
        <x:f>M273*N273</x:f>
        <x:v>120</x:v>
      </x:c>
      <x:c r="P273" s="24" t="n">
        <x:v>3.23</x:v>
      </x:c>
      <x:c r="Q273" s="26" t="n">
        <x:v>0.07327225441400667</x:v>
      </x:c>
      <x:c r="R273" s="24" t="n">
        <x:f>O273*P273*Q273</x:f>
        <x:v>28.40032581086899</x:v>
      </x:c>
      <x:c r="S273" s="24" t="n">
        <x:f>P273*(1-Q273)</x:f>
        <x:v>2.9933306182427586</x:v>
      </x:c>
      <x:c r="T273" s="24" t="n">
        <x:f>O273*S273</x:f>
        <x:v>359.19967418913103</x:v>
      </x:c>
      <x:c r="U273" t="str">
        <x:v>SUR</x:v>
      </x:c>
      <x:c r="V273" t="str">
        <x:v>Farmacia del Sur</x:v>
      </x:c>
      <x:c r="W273" t="str">
        <x:v>Zona Sur</x:v>
      </x:c>
      <x:c r="X273" t="str">
        <x:v>Quito</x:v>
      </x:c>
      <x:c r="Y273" s="32" t="str">
        <x:v>Av. Maldonado S25-10</x:v>
      </x:c>
      <x:c r="Z273" s="22" t="n">
        <x:v>45813</x:v>
      </x:c>
      <x:c r="AA273" t="str">
        <x:v>Recibido</x:v>
      </x:c>
      <x:c r="AB273" t="str">
        <x:v>Contado contra entrega</x:v>
      </x:c>
      <x:c r="AC273" s="32" t="str"/>
    </x:row>
    <x:row r="274">
      <x:c r="A274" t="n">
        <x:v>273</x:v>
      </x:c>
      <x:c r="B274" s="22" t="n">
        <x:v>46238</x:v>
      </x:c>
      <x:c r="C274" t="str">
        <x:v>OC-2026-0273</x:v>
      </x:c>
      <x:c r="D274" t="str">
        <x:v>F-D008-202608-7349</x:v>
      </x:c>
      <x:c r="E274" t="str">
        <x:v>L2608-002-0273</x:v>
      </x:c>
      <x:c r="F274" t="str">
        <x:v>D008</x:v>
      </x:c>
      <x:c r="G274" s="32" t="str">
        <x:v>Mayorista MedicPlus</x:v>
      </x:c>
      <x:c r="H274" t="str">
        <x:v>MED002</x:v>
      </x:c>
      <x:c r="I274" s="32" t="str">
        <x:v>Ibuprofeno 400 mg</x:v>
      </x:c>
      <x:c r="J274" s="32" t="str">
        <x:v>Analgésicos</x:v>
      </x:c>
      <x:c r="K274" s="32" t="str">
        <x:v>La Santé</x:v>
      </x:c>
      <x:c r="L274" s="32" t="str">
        <x:v>Caja x 20 tabletas</x:v>
      </x:c>
      <x:c r="M274" s="28" t="n">
        <x:v>5</x:v>
      </x:c>
      <x:c r="N274" s="28" t="n">
        <x:v>24</x:v>
      </x:c>
      <x:c r="O274" s="28" t="n">
        <x:f>M274*N274</x:f>
        <x:v>120</x:v>
      </x:c>
      <x:c r="P274" s="24" t="n">
        <x:v>1.39</x:v>
      </x:c>
      <x:c r="Q274" s="26" t="n">
        <x:v>0.11921117456007033</x:v>
      </x:c>
      <x:c r="R274" s="24" t="n">
        <x:f>O274*P274*Q274</x:f>
        <x:v>19.884423916619728</x:v>
      </x:c>
      <x:c r="S274" s="24" t="n">
        <x:f>P274*(1-Q274)</x:f>
        <x:v>1.2242964673615022</x:v>
      </x:c>
      <x:c r="T274" s="24" t="n">
        <x:f>O274*S274</x:f>
        <x:v>146.91557608338027</x:v>
      </x:c>
      <x:c r="U274" t="str">
        <x:v>CENTRO</x:v>
      </x:c>
      <x:c r="V274" t="str">
        <x:v>Farmacia Centro Histórico</x:v>
      </x:c>
      <x:c r="W274" t="str">
        <x:v>Zona Centro</x:v>
      </x:c>
      <x:c r="X274" t="str">
        <x:v>Quito</x:v>
      </x:c>
      <x:c r="Y274" s="32" t="str">
        <x:v>Guayaquil y Chile</x:v>
      </x:c>
      <x:c r="Z274" s="22" t="n">
        <x:v>46240</x:v>
      </x:c>
      <x:c r="AA274" t="str">
        <x:v>Recibido</x:v>
      </x:c>
      <x:c r="AB274" t="str">
        <x:v>30 días crédito</x:v>
      </x:c>
      <x:c r="AC274" s="32" t="str"/>
    </x:row>
    <x:row r="275">
      <x:c r="A275" t="n">
        <x:v>274</x:v>
      </x:c>
      <x:c r="B275" s="22" t="n">
        <x:v>45871</x:v>
      </x:c>
      <x:c r="C275" t="str">
        <x:v>OC-2025-0274</x:v>
      </x:c>
      <x:c r="D275" t="str">
        <x:v>F-D002-202508-1783</x:v>
      </x:c>
      <x:c r="E275" t="str">
        <x:v>L2508-008-0274</x:v>
      </x:c>
      <x:c r="F275" t="str">
        <x:v>D002</x:v>
      </x:c>
      <x:c r="G275" s="32" t="str">
        <x:v>MedSupply Ecuador Cía. Ltda.</x:v>
      </x:c>
      <x:c r="H275" t="str">
        <x:v>MED008</x:v>
      </x:c>
      <x:c r="I275" s="32" t="str">
        <x:v>Diclofenaco gel</x:v>
      </x:c>
      <x:c r="J275" s="32" t="str">
        <x:v>Dermatológicos</x:v>
      </x:c>
      <x:c r="K275" s="32" t="str">
        <x:v>Bayer</x:v>
      </x:c>
      <x:c r="L275" s="32" t="str">
        <x:v>Tubo 50 g</x:v>
      </x:c>
      <x:c r="M275" s="28" t="n">
        <x:v>5</x:v>
      </x:c>
      <x:c r="N275" s="28" t="n">
        <x:v>50</x:v>
      </x:c>
      <x:c r="O275" s="28" t="n">
        <x:f>M275*N275</x:f>
        <x:v>250</x:v>
      </x:c>
      <x:c r="P275" s="24" t="n">
        <x:v>1.9</x:v>
      </x:c>
      <x:c r="Q275" s="26" t="n">
        <x:v>0.08295838622365963</x:v>
      </x:c>
      <x:c r="R275" s="24" t="n">
        <x:f>O275*P275*Q275</x:f>
        <x:v>39.40523345623832</x:v>
      </x:c>
      <x:c r="S275" s="24" t="n">
        <x:f>P275*(1-Q275)</x:f>
        <x:v>1.7423790661750467</x:v>
      </x:c>
      <x:c r="T275" s="24" t="n">
        <x:f>O275*S275</x:f>
        <x:v>435.5947665437617</x:v>
      </x:c>
      <x:c r="U275" t="str">
        <x:v>NORTE</x:v>
      </x:c>
      <x:c r="V275" t="str">
        <x:v>Farmacia Norte</x:v>
      </x:c>
      <x:c r="W275" t="str">
        <x:v>Zona Norte</x:v>
      </x:c>
      <x:c r="X275" t="str">
        <x:v>Quito</x:v>
      </x:c>
      <x:c r="Y275" s="32" t="str">
        <x:v>Av. 10 de Agosto N45-20</x:v>
      </x:c>
      <x:c r="Z275" s="22" t="n">
        <x:v>45873</x:v>
      </x:c>
      <x:c r="AA275" t="str">
        <x:v>Recibido</x:v>
      </x:c>
      <x:c r="AB275" t="str">
        <x:v>15 días crédito</x:v>
      </x:c>
      <x:c r="AC275" s="32" t="str"/>
    </x:row>
    <x:row r="276">
      <x:c r="A276" t="n">
        <x:v>275</x:v>
      </x:c>
      <x:c r="B276" s="22" t="n">
        <x:v>46299</x:v>
      </x:c>
      <x:c r="C276" t="str">
        <x:v>OC-2026-0275</x:v>
      </x:c>
      <x:c r="D276" t="str">
        <x:v>F-D004-202610-7693</x:v>
      </x:c>
      <x:c r="E276" t="str">
        <x:v>L2610-009-0275</x:v>
      </x:c>
      <x:c r="F276" t="str">
        <x:v>D004</x:v>
      </x:c>
      <x:c r="G276" s="32" t="str">
        <x:v>Distribuidora Salud Total</x:v>
      </x:c>
      <x:c r="H276" t="str">
        <x:v>MED009</x:v>
      </x:c>
      <x:c r="I276" s="32" t="str">
        <x:v>Losartán 50 mg</x:v>
      </x:c>
      <x:c r="J276" s="32" t="str">
        <x:v>Cardiovasculares</x:v>
      </x:c>
      <x:c r="K276" s="32" t="str">
        <x:v>Laboratorios Bagó</x:v>
      </x:c>
      <x:c r="L276" s="32" t="str">
        <x:v>Caja x 30 tabletas</x:v>
      </x:c>
      <x:c r="M276" s="28" t="n">
        <x:v>24</x:v>
      </x:c>
      <x:c r="N276" s="28" t="n">
        <x:v>20</x:v>
      </x:c>
      <x:c r="O276" s="28" t="n">
        <x:f>M276*N276</x:f>
        <x:v>480</x:v>
      </x:c>
      <x:c r="P276" s="24" t="n">
        <x:v>3.08</x:v>
      </x:c>
      <x:c r="Q276" s="26" t="n">
        <x:v>0.0959951881280899</x:v>
      </x:c>
      <x:c r="R276" s="24" t="n">
        <x:f>O276*P276*Q276</x:f>
        <x:v>141.9192861285681</x:v>
      </x:c>
      <x:c r="S276" s="24" t="n">
        <x:f>P276*(1-Q276)</x:f>
        <x:v>2.784334820565483</x:v>
      </x:c>
      <x:c r="T276" s="24" t="n">
        <x:f>O276*S276</x:f>
        <x:v>1336.4807138714318</x:v>
      </x:c>
      <x:c r="U276" t="str">
        <x:v>VALLE</x:v>
      </x:c>
      <x:c r="V276" t="str">
        <x:v>Farmacia Valle de los Chillos</x:v>
      </x:c>
      <x:c r="W276" t="str">
        <x:v>Zona Valle</x:v>
      </x:c>
      <x:c r="X276" t="str">
        <x:v>Sangolquí</x:v>
      </x:c>
      <x:c r="Y276" s="32" t="str">
        <x:v>Av. Calderón 101</x:v>
      </x:c>
      <x:c r="Z276" s="22" t="n">
        <x:v>46302</x:v>
      </x:c>
      <x:c r="AA276" t="str">
        <x:v>Recibido</x:v>
      </x:c>
      <x:c r="AB276" t="str">
        <x:v>45 días crédito</x:v>
      </x:c>
      <x:c r="AC276" s="32" t="str"/>
    </x:row>
    <x:row r="277">
      <x:c r="A277" t="n">
        <x:v>276</x:v>
      </x:c>
      <x:c r="B277" s="22" t="n">
        <x:v>46278</x:v>
      </x:c>
      <x:c r="C277" t="str">
        <x:v>OC-2026-0276</x:v>
      </x:c>
      <x:c r="D277" t="str">
        <x:v>F-D007-202609-5486</x:v>
      </x:c>
      <x:c r="E277" t="str">
        <x:v>L2609-003-0276</x:v>
      </x:c>
      <x:c r="F277" t="str">
        <x:v>D007</x:v>
      </x:c>
      <x:c r="G277" s="32" t="str">
        <x:v>Comercializadora BioFarma</x:v>
      </x:c>
      <x:c r="H277" t="str">
        <x:v>MED003</x:v>
      </x:c>
      <x:c r="I277" s="32" t="str">
        <x:v>Amoxicilina 500 mg</x:v>
      </x:c>
      <x:c r="J277" s="32" t="str">
        <x:v>Antibióticos</x:v>
      </x:c>
      <x:c r="K277" s="32" t="str">
        <x:v>Acromax</x:v>
      </x:c>
      <x:c r="L277" s="32" t="str">
        <x:v>Caja x 21 cápsulas</x:v>
      </x:c>
      <x:c r="M277" s="28" t="n">
        <x:v>10</x:v>
      </x:c>
      <x:c r="N277" s="28" t="n">
        <x:v>60</x:v>
      </x:c>
      <x:c r="O277" s="28" t="n">
        <x:f>M277*N277</x:f>
        <x:v>600</x:v>
      </x:c>
      <x:c r="P277" s="24" t="n">
        <x:v>4.08</x:v>
      </x:c>
      <x:c r="Q277" s="26" t="n">
        <x:v>0.04528962788644238</x:v>
      </x:c>
      <x:c r="R277" s="24" t="n">
        <x:f>O277*P277*Q277</x:f>
        <x:v>110.86900906601093</x:v>
      </x:c>
      <x:c r="S277" s="24" t="n">
        <x:f>P277*(1-Q277)</x:f>
        <x:v>3.895218318223315</x:v>
      </x:c>
      <x:c r="T277" s="24" t="n">
        <x:f>O277*S277</x:f>
        <x:v>2337.130990933989</x:v>
      </x:c>
      <x:c r="U277" t="str">
        <x:v>SUR</x:v>
      </x:c>
      <x:c r="V277" t="str">
        <x:v>Farmacia del Sur</x:v>
      </x:c>
      <x:c r="W277" t="str">
        <x:v>Zona Sur</x:v>
      </x:c>
      <x:c r="X277" t="str">
        <x:v>Quito</x:v>
      </x:c>
      <x:c r="Y277" s="32" t="str">
        <x:v>Av. Maldonado S25-10</x:v>
      </x:c>
      <x:c r="Z277" s="22" t="n">
        <x:v>46280</x:v>
      </x:c>
      <x:c r="AA277" t="str">
        <x:v>Recibido</x:v>
      </x:c>
      <x:c r="AB277" t="str">
        <x:v>15 días crédito</x:v>
      </x:c>
      <x:c r="AC277" s="32" t="str"/>
    </x:row>
    <x:row r="278">
      <x:c r="A278" t="n">
        <x:v>277</x:v>
      </x:c>
      <x:c r="B278" s="22" t="n">
        <x:v>46015</x:v>
      </x:c>
      <x:c r="C278" t="str">
        <x:v>OC-2025-0277</x:v>
      </x:c>
      <x:c r="D278" t="str">
        <x:v>F-D003-202512-8949</x:v>
      </x:c>
      <x:c r="E278" t="str">
        <x:v>L2512-014-0277</x:v>
      </x:c>
      <x:c r="F278" t="str">
        <x:v>D003</x:v>
      </x:c>
      <x:c r="G278" s="32" t="str">
        <x:v>FarmaLogística Sierra</x:v>
      </x:c>
      <x:c r="H278" t="str">
        <x:v>MED014</x:v>
      </x:c>
      <x:c r="I278" s="32" t="str">
        <x:v>Crema antimicótica</x:v>
      </x:c>
      <x:c r="J278" s="32" t="str">
        <x:v>Dermatológicos</x:v>
      </x:c>
      <x:c r="K278" s="32" t="str">
        <x:v>Acromax</x:v>
      </x:c>
      <x:c r="L278" s="32" t="str">
        <x:v>Tubo 30 g</x:v>
      </x:c>
      <x:c r="M278" s="28" t="n">
        <x:v>3</x:v>
      </x:c>
      <x:c r="N278" s="28" t="n">
        <x:v>24</x:v>
      </x:c>
      <x:c r="O278" s="28" t="n">
        <x:f>M278*N278</x:f>
        <x:v>72</x:v>
      </x:c>
      <x:c r="P278" s="24" t="n">
        <x:v>2.22</x:v>
      </x:c>
      <x:c r="Q278" s="26" t="n">
        <x:v>0.027484674407690174</x:v>
      </x:c>
      <x:c r="R278" s="24" t="n">
        <x:f>O278*P278*Q278</x:f>
        <x:v>4.393150357325197</x:v>
      </x:c>
      <x:c r="S278" s="24" t="n">
        <x:f>P278*(1-Q278)</x:f>
        <x:v>2.158984022814928</x:v>
      </x:c>
      <x:c r="T278" s="24" t="n">
        <x:f>O278*S278</x:f>
        <x:v>155.4468496426748</x:v>
      </x:c>
      <x:c r="U278" t="str">
        <x:v>SUR</x:v>
      </x:c>
      <x:c r="V278" t="str">
        <x:v>Farmacia del Sur</x:v>
      </x:c>
      <x:c r="W278" t="str">
        <x:v>Zona Sur</x:v>
      </x:c>
      <x:c r="X278" t="str">
        <x:v>Quito</x:v>
      </x:c>
      <x:c r="Y278" s="32" t="str">
        <x:v>Av. Maldonado S25-10</x:v>
      </x:c>
      <x:c r="Z278" s="22" t="n">
        <x:v>46016</x:v>
      </x:c>
      <x:c r="AA278" t="str">
        <x:v>Recibido</x:v>
      </x:c>
      <x:c r="AB278" t="str">
        <x:v>Contado contra entrega</x:v>
      </x:c>
      <x:c r="AC278" s="32" t="str"/>
    </x:row>
    <x:row r="279">
      <x:c r="A279" t="n">
        <x:v>278</x:v>
      </x:c>
      <x:c r="B279" s="22" t="n">
        <x:v>46175</x:v>
      </x:c>
      <x:c r="C279" t="str">
        <x:v>OC-2026-0278</x:v>
      </x:c>
      <x:c r="D279" t="str">
        <x:v>F-D008-202606-3586</x:v>
      </x:c>
      <x:c r="E279" t="str">
        <x:v>L2606-004-0278</x:v>
      </x:c>
      <x:c r="F279" t="str">
        <x:v>D008</x:v>
      </x:c>
      <x:c r="G279" s="32" t="str">
        <x:v>Mayorista MedicPlus</x:v>
      </x:c>
      <x:c r="H279" t="str">
        <x:v>MED004</x:v>
      </x:c>
      <x:c r="I279" s="32" t="str">
        <x:v>Azitromicina 500 mg</x:v>
      </x:c>
      <x:c r="J279" s="32" t="str">
        <x:v>Antibióticos</x:v>
      </x:c>
      <x:c r="K279" s="32" t="str">
        <x:v>Pfizer</x:v>
      </x:c>
      <x:c r="L279" s="32" t="str">
        <x:v>Caja x 3 tabletas</x:v>
      </x:c>
      <x:c r="M279" s="28" t="n">
        <x:v>15</x:v>
      </x:c>
      <x:c r="N279" s="28" t="n">
        <x:v>10</x:v>
      </x:c>
      <x:c r="O279" s="28" t="n">
        <x:f>M279*N279</x:f>
        <x:v>150</x:v>
      </x:c>
      <x:c r="P279" s="24" t="n">
        <x:v>5.12</x:v>
      </x:c>
      <x:c r="Q279" s="26" t="n">
        <x:v>0.06935556660828422</x:v>
      </x:c>
      <x:c r="R279" s="24" t="n">
        <x:f>O279*P279*Q279</x:f>
        <x:v>53.26507515516228</x:v>
      </x:c>
      <x:c r="S279" s="24" t="n">
        <x:f>P279*(1-Q279)</x:f>
        <x:v>4.764899498965585</x:v>
      </x:c>
      <x:c r="T279" s="24" t="n">
        <x:f>O279*S279</x:f>
        <x:v>714.7349248448378</x:v>
      </x:c>
      <x:c r="U279" t="str">
        <x:v>CENTRO</x:v>
      </x:c>
      <x:c r="V279" t="str">
        <x:v>Farmacia Centro Histórico</x:v>
      </x:c>
      <x:c r="W279" t="str">
        <x:v>Zona Centro</x:v>
      </x:c>
      <x:c r="X279" t="str">
        <x:v>Quito</x:v>
      </x:c>
      <x:c r="Y279" s="32" t="str">
        <x:v>Guayaquil y Chile</x:v>
      </x:c>
      <x:c r="Z279" s="22" t="n">
        <x:v>46179</x:v>
      </x:c>
      <x:c r="AA279" t="str">
        <x:v>Recibido</x:v>
      </x:c>
      <x:c r="AB279" t="str">
        <x:v>30 días crédito</x:v>
      </x:c>
      <x:c r="AC279" s="32" t="str">
        <x:v>Entrega coordinada fuera de horario regular</x:v>
      </x:c>
    </x:row>
    <x:row r="280">
      <x:c r="A280" t="n">
        <x:v>279</x:v>
      </x:c>
      <x:c r="B280" s="22" t="n">
        <x:v>46317</x:v>
      </x:c>
      <x:c r="C280" t="str">
        <x:v>OC-2026-0279</x:v>
      </x:c>
      <x:c r="D280" t="str">
        <x:v>F-D007-202610-3009</x:v>
      </x:c>
      <x:c r="E280" t="str">
        <x:v>L2610-012-0279</x:v>
      </x:c>
      <x:c r="F280" t="str">
        <x:v>D007</x:v>
      </x:c>
      <x:c r="G280" s="32" t="str">
        <x:v>Comercializadora BioFarma</x:v>
      </x:c>
      <x:c r="H280" t="str">
        <x:v>MED012</x:v>
      </x:c>
      <x:c r="I280" s="32" t="str">
        <x:v>Multivitamínico adulto</x:v>
      </x:c>
      <x:c r="J280" s="32" t="str">
        <x:v>Vitaminas</x:v>
      </x:c>
      <x:c r="K280" s="32" t="str">
        <x:v>Novartis</x:v>
      </x:c>
      <x:c r="L280" s="32" t="str">
        <x:v>Frasco x 30 tabletas</x:v>
      </x:c>
      <x:c r="M280" s="28" t="n">
        <x:v>3</x:v>
      </x:c>
      <x:c r="N280" s="28" t="n">
        <x:v>50</x:v>
      </x:c>
      <x:c r="O280" s="28" t="n">
        <x:f>M280*N280</x:f>
        <x:v>150</x:v>
      </x:c>
      <x:c r="P280" s="24" t="n">
        <x:v>4.42</x:v>
      </x:c>
      <x:c r="Q280" s="26" t="n">
        <x:v>0.07041361270983204</x:v>
      </x:c>
      <x:c r="R280" s="24" t="n">
        <x:f>O280*P280*Q280</x:f>
        <x:v>46.68422522661864</x:v>
      </x:c>
      <x:c r="S280" s="24" t="n">
        <x:f>P280*(1-Q280)</x:f>
        <x:v>4.108771831822542</x:v>
      </x:c>
      <x:c r="T280" s="24" t="n">
        <x:f>O280*S280</x:f>
        <x:v>616.3157747733813</x:v>
      </x:c>
      <x:c r="U280" t="str">
        <x:v>CENTRO</x:v>
      </x:c>
      <x:c r="V280" t="str">
        <x:v>Farmacia Centro Histórico</x:v>
      </x:c>
      <x:c r="W280" t="str">
        <x:v>Zona Centro</x:v>
      </x:c>
      <x:c r="X280" t="str">
        <x:v>Quito</x:v>
      </x:c>
      <x:c r="Y280" s="32" t="str">
        <x:v>Guayaquil y Chile</x:v>
      </x:c>
      <x:c r="Z280" s="22" t="n">
        <x:v>46319</x:v>
      </x:c>
      <x:c r="AA280" t="str">
        <x:v>Recibido</x:v>
      </x:c>
      <x:c r="AB280" t="str">
        <x:v>15 días crédito</x:v>
      </x:c>
      <x:c r="AC280" s="32" t="str">
        <x:v>Entrega coordinada fuera de horario regular</x:v>
      </x:c>
    </x:row>
    <x:row r="281">
      <x:c r="A281" t="n">
        <x:v>280</x:v>
      </x:c>
      <x:c r="B281" s="22" t="n">
        <x:v>45892</x:v>
      </x:c>
      <x:c r="C281" t="str">
        <x:v>OC-2025-0280</x:v>
      </x:c>
      <x:c r="D281" t="str">
        <x:v>F-D007-202508-1427</x:v>
      </x:c>
      <x:c r="E281" t="str">
        <x:v>L2508-014-0280</x:v>
      </x:c>
      <x:c r="F281" t="str">
        <x:v>D007</x:v>
      </x:c>
      <x:c r="G281" s="32" t="str">
        <x:v>Comercializadora BioFarma</x:v>
      </x:c>
      <x:c r="H281" t="str">
        <x:v>MED014</x:v>
      </x:c>
      <x:c r="I281" s="32" t="str">
        <x:v>Crema antimicótica</x:v>
      </x:c>
      <x:c r="J281" s="32" t="str">
        <x:v>Dermatológicos</x:v>
      </x:c>
      <x:c r="K281" s="32" t="str">
        <x:v>Acromax</x:v>
      </x:c>
      <x:c r="L281" s="32" t="str">
        <x:v>Tubo 30 g</x:v>
      </x:c>
      <x:c r="M281" s="28" t="n">
        <x:v>4</x:v>
      </x:c>
      <x:c r="N281" s="28" t="n">
        <x:v>60</x:v>
      </x:c>
      <x:c r="O281" s="28" t="n">
        <x:f>M281*N281</x:f>
        <x:v>240</x:v>
      </x:c>
      <x:c r="P281" s="24" t="n">
        <x:v>2.34</x:v>
      </x:c>
      <x:c r="Q281" s="26" t="n">
        <x:v>0.0268722945377608</x:v>
      </x:c>
      <x:c r="R281" s="24" t="n">
        <x:f>O281*P281*Q281</x:f>
        <x:v>15.091480612406462</x:v>
      </x:c>
      <x:c r="S281" s="24" t="n">
        <x:f>P281*(1-Q281)</x:f>
        <x:v>2.2771188307816397</x:v>
      </x:c>
      <x:c r="T281" s="24" t="n">
        <x:f>O281*S281</x:f>
        <x:v>546.5085193875935</x:v>
      </x:c>
      <x:c r="U281" t="str">
        <x:v>NORTE</x:v>
      </x:c>
      <x:c r="V281" t="str">
        <x:v>Farmacia Norte</x:v>
      </x:c>
      <x:c r="W281" t="str">
        <x:v>Zona Norte</x:v>
      </x:c>
      <x:c r="X281" t="str">
        <x:v>Quito</x:v>
      </x:c>
      <x:c r="Y281" s="32" t="str">
        <x:v>Av. 10 de Agosto N45-20</x:v>
      </x:c>
      <x:c r="Z281" s="22" t="n">
        <x:v>45895</x:v>
      </x:c>
      <x:c r="AA281" t="str">
        <x:v>Recibido</x:v>
      </x:c>
      <x:c r="AB281" t="str">
        <x:v>15 días crédito</x:v>
      </x:c>
      <x:c r="AC281" s="32" t="str"/>
    </x:row>
    <x:row r="282">
      <x:c r="A282" t="n">
        <x:v>281</x:v>
      </x:c>
      <x:c r="B282" s="22" t="n">
        <x:v>45659</x:v>
      </x:c>
      <x:c r="C282" t="str">
        <x:v>OC-2025-0281</x:v>
      </x:c>
      <x:c r="D282" t="str">
        <x:v>F-D007-202501-4530</x:v>
      </x:c>
      <x:c r="E282" t="str">
        <x:v>L2501-006-0281</x:v>
      </x:c>
      <x:c r="F282" t="str">
        <x:v>D007</x:v>
      </x:c>
      <x:c r="G282" s="32" t="str">
        <x:v>Comercializadora BioFarma</x:v>
      </x:c>
      <x:c r="H282" t="str">
        <x:v>MED006</x:v>
      </x:c>
      <x:c r="I282" s="32" t="str">
        <x:v>Vitamina C 1 g</x:v>
      </x:c>
      <x:c r="J282" s="32" t="str">
        <x:v>Vitaminas</x:v>
      </x:c>
      <x:c r="K282" s="32" t="str">
        <x:v>Novartis</x:v>
      </x:c>
      <x:c r="L282" s="32" t="str">
        <x:v>Tubo x 10 efervescentes</x:v>
      </x:c>
      <x:c r="M282" s="28" t="n">
        <x:v>6</x:v>
      </x:c>
      <x:c r="N282" s="28" t="n">
        <x:v>50</x:v>
      </x:c>
      <x:c r="O282" s="28" t="n">
        <x:f>M282*N282</x:f>
        <x:v>300</x:v>
      </x:c>
      <x:c r="P282" s="24" t="n">
        <x:v>2.07</x:v>
      </x:c>
      <x:c r="Q282" s="26" t="n">
        <x:v>0.08363404815328199</x:v>
      </x:c>
      <x:c r="R282" s="24" t="n">
        <x:f>O282*P282*Q282</x:f>
        <x:v>51.936743903188116</x:v>
      </x:c>
      <x:c r="S282" s="24" t="n">
        <x:f>P282*(1-Q282)</x:f>
        <x:v>1.8968775203227062</x:v>
      </x:c>
      <x:c r="T282" s="24" t="n">
        <x:f>O282*S282</x:f>
        <x:v>569.0632560968119</x:v>
      </x:c>
      <x:c r="U282" t="str">
        <x:v>NORTE</x:v>
      </x:c>
      <x:c r="V282" t="str">
        <x:v>Farmacia Norte</x:v>
      </x:c>
      <x:c r="W282" t="str">
        <x:v>Zona Norte</x:v>
      </x:c>
      <x:c r="X282" t="str">
        <x:v>Quito</x:v>
      </x:c>
      <x:c r="Y282" s="32" t="str">
        <x:v>Av. 10 de Agosto N45-20</x:v>
      </x:c>
      <x:c r="Z282" s="22" t="n">
        <x:v>45661</x:v>
      </x:c>
      <x:c r="AA282" t="str">
        <x:v>Recibido</x:v>
      </x:c>
      <x:c r="AB282" t="str">
        <x:v>15 días crédito</x:v>
      </x:c>
      <x:c r="AC282" s="32" t="str">
        <x:v>Entrega coordinada fuera de horario regular</x:v>
      </x:c>
    </x:row>
    <x:row r="283">
      <x:c r="A283" t="n">
        <x:v>282</x:v>
      </x:c>
      <x:c r="B283" s="22" t="n">
        <x:v>46279</x:v>
      </x:c>
      <x:c r="C283" t="str">
        <x:v>OC-2026-0282</x:v>
      </x:c>
      <x:c r="D283" t="str">
        <x:v>F-D002-202609-2799</x:v>
      </x:c>
      <x:c r="E283" t="str">
        <x:v>L2609-006-0282</x:v>
      </x:c>
      <x:c r="F283" t="str">
        <x:v>D002</x:v>
      </x:c>
      <x:c r="G283" s="32" t="str">
        <x:v>MedSupply Ecuador Cía. Ltda.</x:v>
      </x:c>
      <x:c r="H283" t="str">
        <x:v>MED006</x:v>
      </x:c>
      <x:c r="I283" s="32" t="str">
        <x:v>Vitamina C 1 g</x:v>
      </x:c>
      <x:c r="J283" s="32" t="str">
        <x:v>Vitaminas</x:v>
      </x:c>
      <x:c r="K283" s="32" t="str">
        <x:v>Novartis</x:v>
      </x:c>
      <x:c r="L283" s="32" t="str">
        <x:v>Tubo x 10 efervescentes</x:v>
      </x:c>
      <x:c r="M283" s="28" t="n">
        <x:v>5</x:v>
      </x:c>
      <x:c r="N283" s="28" t="n">
        <x:v>30</x:v>
      </x:c>
      <x:c r="O283" s="28" t="n">
        <x:f>M283*N283</x:f>
        <x:v>150</x:v>
      </x:c>
      <x:c r="P283" s="24" t="n">
        <x:v>2.27</x:v>
      </x:c>
      <x:c r="Q283" s="26" t="n">
        <x:v>0.08749993267343481</x:v>
      </x:c>
      <x:c r="R283" s="24" t="n">
        <x:f>O283*P283*Q283</x:f>
        <x:v>29.793727075304552</x:v>
      </x:c>
      <x:c r="S283" s="24" t="n">
        <x:f>P283*(1-Q283)</x:f>
        <x:v>2.071375152831303</x:v>
      </x:c>
      <x:c r="T283" s="24" t="n">
        <x:f>O283*S283</x:f>
        <x:v>310.70627292469544</x:v>
      </x:c>
      <x:c r="U283" t="str">
        <x:v>VALLE</x:v>
      </x:c>
      <x:c r="V283" t="str">
        <x:v>Farmacia Valle de los Chillos</x:v>
      </x:c>
      <x:c r="W283" t="str">
        <x:v>Zona Valle</x:v>
      </x:c>
      <x:c r="X283" t="str">
        <x:v>Sangolquí</x:v>
      </x:c>
      <x:c r="Y283" s="32" t="str">
        <x:v>Av. Calderón 101</x:v>
      </x:c>
      <x:c r="Z283" s="22" t="n">
        <x:v>46281</x:v>
      </x:c>
      <x:c r="AA283" t="str">
        <x:v>Recibido</x:v>
      </x:c>
      <x:c r="AB283" t="str">
        <x:v>15 días crédito</x:v>
      </x:c>
      <x:c r="AC283" s="32" t="str"/>
    </x:row>
    <x:row r="284">
      <x:c r="A284" t="n">
        <x:v>283</x:v>
      </x:c>
      <x:c r="B284" s="22" t="n">
        <x:v>46028</x:v>
      </x:c>
      <x:c r="C284" t="str">
        <x:v>OC-2026-0283</x:v>
      </x:c>
      <x:c r="D284" t="str">
        <x:v>F-D004-202601-1256</x:v>
      </x:c>
      <x:c r="E284" t="str">
        <x:v>L2601-011-0283</x:v>
      </x:c>
      <x:c r="F284" t="str">
        <x:v>D004</x:v>
      </x:c>
      <x:c r="G284" s="32" t="str">
        <x:v>Distribuidora Salud Total</x:v>
      </x:c>
      <x:c r="H284" t="str">
        <x:v>MED011</x:v>
      </x:c>
      <x:c r="I284" s="32" t="str">
        <x:v>Jarabe antigripal</x:v>
      </x:c>
      <x:c r="J284" s="32" t="str">
        <x:v>Antigripales</x:v>
      </x:c>
      <x:c r="K284" s="32" t="str">
        <x:v>MEDICAMENTA</x:v>
      </x:c>
      <x:c r="L284" s="32" t="str">
        <x:v>Frasco 120 ml</x:v>
      </x:c>
      <x:c r="M284" s="28" t="n">
        <x:v>10</x:v>
      </x:c>
      <x:c r="N284" s="28" t="n">
        <x:v>24</x:v>
      </x:c>
      <x:c r="O284" s="28" t="n">
        <x:f>M284*N284</x:f>
        <x:v>240</x:v>
      </x:c>
      <x:c r="P284" s="24" t="n">
        <x:v>2.97</x:v>
      </x:c>
      <x:c r="Q284" s="26" t="n">
        <x:v>0.09904941981083401</x:v>
      </x:c>
      <x:c r="R284" s="24" t="n">
        <x:f>O284*P284*Q284</x:f>
        <x:v>70.60242644116249</x:v>
      </x:c>
      <x:c r="S284" s="24" t="n">
        <x:f>P284*(1-Q284)</x:f>
        <x:v>2.675823223161823</x:v>
      </x:c>
      <x:c r="T284" s="24" t="n">
        <x:f>O284*S284</x:f>
        <x:v>642.1975735588376</x:v>
      </x:c>
      <x:c r="U284" t="str">
        <x:v>VALLE</x:v>
      </x:c>
      <x:c r="V284" t="str">
        <x:v>Farmacia Valle de los Chillos</x:v>
      </x:c>
      <x:c r="W284" t="str">
        <x:v>Zona Valle</x:v>
      </x:c>
      <x:c r="X284" t="str">
        <x:v>Sangolquí</x:v>
      </x:c>
      <x:c r="Y284" s="32" t="str">
        <x:v>Av. Calderón 101</x:v>
      </x:c>
      <x:c r="Z284" s="22" t="n">
        <x:v>46033</x:v>
      </x:c>
      <x:c r="AA284" t="str">
        <x:v>Recibido</x:v>
      </x:c>
      <x:c r="AB284" t="str">
        <x:v>45 días crédito</x:v>
      </x:c>
      <x:c r="AC284" s="32" t="str">
        <x:v>Entrega coordinada fuera de horario regular</x:v>
      </x:c>
    </x:row>
    <x:row r="285">
      <x:c r="A285" t="n">
        <x:v>284</x:v>
      </x:c>
      <x:c r="B285" s="22" t="n">
        <x:v>45928</x:v>
      </x:c>
      <x:c r="C285" t="str">
        <x:v>OC-2025-0284</x:v>
      </x:c>
      <x:c r="D285" t="str">
        <x:v>F-D007-202509-2146</x:v>
      </x:c>
      <x:c r="E285" t="str">
        <x:v>L2509-014-0284</x:v>
      </x:c>
      <x:c r="F285" t="str">
        <x:v>D007</x:v>
      </x:c>
      <x:c r="G285" s="32" t="str">
        <x:v>Comercializadora BioFarma</x:v>
      </x:c>
      <x:c r="H285" t="str">
        <x:v>MED014</x:v>
      </x:c>
      <x:c r="I285" s="32" t="str">
        <x:v>Crema antimicótica</x:v>
      </x:c>
      <x:c r="J285" s="32" t="str">
        <x:v>Dermatológicos</x:v>
      </x:c>
      <x:c r="K285" s="32" t="str">
        <x:v>Acromax</x:v>
      </x:c>
      <x:c r="L285" s="32" t="str">
        <x:v>Tubo 30 g</x:v>
      </x:c>
      <x:c r="M285" s="28" t="n">
        <x:v>5</x:v>
      </x:c>
      <x:c r="N285" s="28" t="n">
        <x:v>20</x:v>
      </x:c>
      <x:c r="O285" s="28" t="n">
        <x:f>M285*N285</x:f>
        <x:v>100</x:v>
      </x:c>
      <x:c r="P285" s="24" t="n">
        <x:v>2.05</x:v>
      </x:c>
      <x:c r="Q285" s="26" t="n">
        <x:v>0.052566007380435896</x:v>
      </x:c>
      <x:c r="R285" s="24" t="n">
        <x:f>O285*P285*Q285</x:f>
        <x:v>10.776031512989357</x:v>
      </x:c>
      <x:c r="S285" s="24" t="n">
        <x:f>P285*(1-Q285)</x:f>
        <x:v>1.9422396848701062</x:v>
      </x:c>
      <x:c r="T285" s="24" t="n">
        <x:f>O285*S285</x:f>
        <x:v>194.2239684870106</x:v>
      </x:c>
      <x:c r="U285" t="str">
        <x:v>NORTE</x:v>
      </x:c>
      <x:c r="V285" t="str">
        <x:v>Farmacia Norte</x:v>
      </x:c>
      <x:c r="W285" t="str">
        <x:v>Zona Norte</x:v>
      </x:c>
      <x:c r="X285" t="str">
        <x:v>Quito</x:v>
      </x:c>
      <x:c r="Y285" s="32" t="str">
        <x:v>Av. 10 de Agosto N45-20</x:v>
      </x:c>
      <x:c r="Z285" s="22" t="n">
        <x:v>45929</x:v>
      </x:c>
      <x:c r="AA285" t="str">
        <x:v>Recibido</x:v>
      </x:c>
      <x:c r="AB285" t="str">
        <x:v>15 días crédito</x:v>
      </x:c>
      <x:c r="AC285" s="32" t="str"/>
    </x:row>
    <x:row r="286">
      <x:c r="A286" t="n">
        <x:v>285</x:v>
      </x:c>
      <x:c r="B286" s="22" t="n">
        <x:v>45692</x:v>
      </x:c>
      <x:c r="C286" t="str">
        <x:v>OC-2025-0285</x:v>
      </x:c>
      <x:c r="D286" t="str">
        <x:v>F-D007-202502-6388</x:v>
      </x:c>
      <x:c r="E286" t="str">
        <x:v>L2502-014-0285</x:v>
      </x:c>
      <x:c r="F286" t="str">
        <x:v>D007</x:v>
      </x:c>
      <x:c r="G286" s="32" t="str">
        <x:v>Comercializadora BioFarma</x:v>
      </x:c>
      <x:c r="H286" t="str">
        <x:v>MED014</x:v>
      </x:c>
      <x:c r="I286" s="32" t="str">
        <x:v>Crema antimicótica</x:v>
      </x:c>
      <x:c r="J286" s="32" t="str">
        <x:v>Dermatológicos</x:v>
      </x:c>
      <x:c r="K286" s="32" t="str">
        <x:v>Acromax</x:v>
      </x:c>
      <x:c r="L286" s="32" t="str">
        <x:v>Tubo 30 g</x:v>
      </x:c>
      <x:c r="M286" s="28" t="n">
        <x:v>4</x:v>
      </x:c>
      <x:c r="N286" s="28" t="n">
        <x:v>20</x:v>
      </x:c>
      <x:c r="O286" s="28" t="n">
        <x:f>M286*N286</x:f>
        <x:v>80</x:v>
      </x:c>
      <x:c r="P286" s="24" t="n">
        <x:v>2.21</x:v>
      </x:c>
      <x:c r="Q286" s="26" t="n">
        <x:v>0.03090875311120534</x:v>
      </x:c>
      <x:c r="R286" s="24" t="n">
        <x:f>O286*P286*Q286</x:f>
        <x:v>5.464667550061105</x:v>
      </x:c>
      <x:c r="S286" s="24" t="n">
        <x:f>P286*(1-Q286)</x:f>
        <x:v>2.141691655624236</x:v>
      </x:c>
      <x:c r="T286" s="24" t="n">
        <x:f>O286*S286</x:f>
        <x:v>171.33533244993887</x:v>
      </x:c>
      <x:c r="U286" t="str">
        <x:v>SUR</x:v>
      </x:c>
      <x:c r="V286" t="str">
        <x:v>Farmacia del Sur</x:v>
      </x:c>
      <x:c r="W286" t="str">
        <x:v>Zona Sur</x:v>
      </x:c>
      <x:c r="X286" t="str">
        <x:v>Quito</x:v>
      </x:c>
      <x:c r="Y286" s="32" t="str">
        <x:v>Av. Maldonado S25-10</x:v>
      </x:c>
      <x:c r="Z286" s="22" t="n">
        <x:v>45693</x:v>
      </x:c>
      <x:c r="AA286" t="str">
        <x:v>Recibido</x:v>
      </x:c>
      <x:c r="AB286" t="str">
        <x:v>15 días crédito</x:v>
      </x:c>
      <x:c r="AC286" s="32" t="str"/>
    </x:row>
    <x:row r="287">
      <x:c r="A287" t="n">
        <x:v>286</x:v>
      </x:c>
      <x:c r="B287" s="22" t="n">
        <x:v>45983</x:v>
      </x:c>
      <x:c r="C287" t="str">
        <x:v>OC-2025-0286</x:v>
      </x:c>
      <x:c r="D287" t="str">
        <x:v>F-D004-202511-1853</x:v>
      </x:c>
      <x:c r="E287" t="str">
        <x:v>L2511-014-0286</x:v>
      </x:c>
      <x:c r="F287" t="str">
        <x:v>D004</x:v>
      </x:c>
      <x:c r="G287" s="32" t="str">
        <x:v>Distribuidora Salud Total</x:v>
      </x:c>
      <x:c r="H287" t="str">
        <x:v>MED014</x:v>
      </x:c>
      <x:c r="I287" s="32" t="str">
        <x:v>Crema antimicótica</x:v>
      </x:c>
      <x:c r="J287" s="32" t="str">
        <x:v>Dermatológicos</x:v>
      </x:c>
      <x:c r="K287" s="32" t="str">
        <x:v>Acromax</x:v>
      </x:c>
      <x:c r="L287" s="32" t="str">
        <x:v>Tubo 30 g</x:v>
      </x:c>
      <x:c r="M287" s="28" t="n">
        <x:v>4</x:v>
      </x:c>
      <x:c r="N287" s="28" t="n">
        <x:v>60</x:v>
      </x:c>
      <x:c r="O287" s="28" t="n">
        <x:f>M287*N287</x:f>
        <x:v>240</x:v>
      </x:c>
      <x:c r="P287" s="24" t="n">
        <x:v>2.06</x:v>
      </x:c>
      <x:c r="Q287" s="26" t="n">
        <x:v>0.12638910791461014</x:v>
      </x:c>
      <x:c r="R287" s="24" t="n">
        <x:f>O287*P287*Q287</x:f>
        <x:v>62.486774952983254</x:v>
      </x:c>
      <x:c r="S287" s="24" t="n">
        <x:f>P287*(1-Q287)</x:f>
        <x:v>1.7996384376959031</x:v>
      </x:c>
      <x:c r="T287" s="24" t="n">
        <x:f>O287*S287</x:f>
        <x:v>431.91322504701674</x:v>
      </x:c>
      <x:c r="U287" t="str">
        <x:v>NORTE</x:v>
      </x:c>
      <x:c r="V287" t="str">
        <x:v>Farmacia Norte</x:v>
      </x:c>
      <x:c r="W287" t="str">
        <x:v>Zona Norte</x:v>
      </x:c>
      <x:c r="X287" t="str">
        <x:v>Quito</x:v>
      </x:c>
      <x:c r="Y287" s="32" t="str">
        <x:v>Av. 10 de Agosto N45-20</x:v>
      </x:c>
      <x:c r="Z287" s="22" t="n">
        <x:v>45984</x:v>
      </x:c>
      <x:c r="AA287" t="str">
        <x:v>Recibido</x:v>
      </x:c>
      <x:c r="AB287" t="str">
        <x:v>45 días crédito</x:v>
      </x:c>
      <x:c r="AC287" s="32" t="str">
        <x:v>Entrega coordinada fuera de horario regular</x:v>
      </x:c>
    </x:row>
    <x:row r="288">
      <x:c r="A288" t="n">
        <x:v>287</x:v>
      </x:c>
      <x:c r="B288" s="22" t="n">
        <x:v>46157</x:v>
      </x:c>
      <x:c r="C288" t="str">
        <x:v>OC-2026-0287</x:v>
      </x:c>
      <x:c r="D288" t="str">
        <x:v>F-D008-202605-7471</x:v>
      </x:c>
      <x:c r="E288" t="str">
        <x:v>L2605-007-0287</x:v>
      </x:c>
      <x:c r="F288" t="str">
        <x:v>D008</x:v>
      </x:c>
      <x:c r="G288" s="32" t="str">
        <x:v>Mayorista MedicPlus</x:v>
      </x:c>
      <x:c r="H288" t="str">
        <x:v>MED007</x:v>
      </x:c>
      <x:c r="I288" s="32" t="str">
        <x:v>Omeprazol 20 mg</x:v>
      </x:c>
      <x:c r="J288" s="32" t="str">
        <x:v>Gastrointestinales</x:v>
      </x:c>
      <x:c r="K288" s="32" t="str">
        <x:v>La Santé</x:v>
      </x:c>
      <x:c r="L288" s="32" t="str">
        <x:v>Caja x 30 cápsulas</x:v>
      </x:c>
      <x:c r="M288" s="28" t="n">
        <x:v>18</x:v>
      </x:c>
      <x:c r="N288" s="28" t="n">
        <x:v>20</x:v>
      </x:c>
      <x:c r="O288" s="28" t="n">
        <x:f>M288*N288</x:f>
        <x:v>360</x:v>
      </x:c>
      <x:c r="P288" s="24" t="n">
        <x:v>2.64</x:v>
      </x:c>
      <x:c r="Q288" s="26" t="n">
        <x:v>0.09275209098384131</x:v>
      </x:c>
      <x:c r="R288" s="24" t="n">
        <x:f>O288*P288*Q288</x:f>
        <x:v>88.15158727104279</x:v>
      </x:c>
      <x:c r="S288" s="24" t="n">
        <x:f>P288*(1-Q288)</x:f>
        <x:v>2.395134479802659</x:v>
      </x:c>
      <x:c r="T288" s="24" t="n">
        <x:f>O288*S288</x:f>
        <x:v>862.2484127289573</x:v>
      </x:c>
      <x:c r="U288" t="str">
        <x:v>VALLE</x:v>
      </x:c>
      <x:c r="V288" t="str">
        <x:v>Farmacia Valle de los Chillos</x:v>
      </x:c>
      <x:c r="W288" t="str">
        <x:v>Zona Valle</x:v>
      </x:c>
      <x:c r="X288" t="str">
        <x:v>Sangolquí</x:v>
      </x:c>
      <x:c r="Y288" s="32" t="str">
        <x:v>Av. Calderón 101</x:v>
      </x:c>
      <x:c r="Z288" s="22" t="n">
        <x:v>46158</x:v>
      </x:c>
      <x:c r="AA288" t="str">
        <x:v>Recibido</x:v>
      </x:c>
      <x:c r="AB288" t="str">
        <x:v>30 días crédito</x:v>
      </x:c>
      <x:c r="AC288" s="32" t="str">
        <x:v>Entrega coordinada fuera de horario regular</x:v>
      </x:c>
    </x:row>
    <x:row r="289">
      <x:c r="A289" t="n">
        <x:v>288</x:v>
      </x:c>
      <x:c r="B289" s="22" t="n">
        <x:v>45659</x:v>
      </x:c>
      <x:c r="C289" t="str">
        <x:v>OC-2025-0288</x:v>
      </x:c>
      <x:c r="D289" t="str">
        <x:v>F-D008-202501-6153</x:v>
      </x:c>
      <x:c r="E289" t="str">
        <x:v>L2501-005-0288</x:v>
      </x:c>
      <x:c r="F289" t="str">
        <x:v>D008</x:v>
      </x:c>
      <x:c r="G289" s="32" t="str">
        <x:v>Mayorista MedicPlus</x:v>
      </x:c>
      <x:c r="H289" t="str">
        <x:v>MED005</x:v>
      </x:c>
      <x:c r="I289" s="32" t="str">
        <x:v>Loratadina 10 mg</x:v>
      </x:c>
      <x:c r="J289" s="32" t="str">
        <x:v>Antigripales</x:v>
      </x:c>
      <x:c r="K289" s="32" t="str">
        <x:v>Genfar</x:v>
      </x:c>
      <x:c r="L289" s="32" t="str">
        <x:v>Caja x 10 tabletas</x:v>
      </x:c>
      <x:c r="M289" s="28" t="n">
        <x:v>24</x:v>
      </x:c>
      <x:c r="N289" s="28" t="n">
        <x:v>10</x:v>
      </x:c>
      <x:c r="O289" s="28" t="n">
        <x:f>M289*N289</x:f>
        <x:v>240</x:v>
      </x:c>
      <x:c r="P289" s="24" t="n">
        <x:v>1.06</x:v>
      </x:c>
      <x:c r="Q289" s="26" t="n">
        <x:v>0.1080211134563394</x:v>
      </x:c>
      <x:c r="R289" s="24" t="n">
        <x:f>O289*P289*Q289</x:f>
        <x:v>27.480571263292745</x:v>
      </x:c>
      <x:c r="S289" s="24" t="n">
        <x:f>P289*(1-Q289)</x:f>
        <x:v>0.9454976197362803</x:v>
      </x:c>
      <x:c r="T289" s="24" t="n">
        <x:f>O289*S289</x:f>
        <x:v>226.9194287367073</x:v>
      </x:c>
      <x:c r="U289" t="str">
        <x:v>NORTE</x:v>
      </x:c>
      <x:c r="V289" t="str">
        <x:v>Farmacia Norte</x:v>
      </x:c>
      <x:c r="W289" t="str">
        <x:v>Zona Norte</x:v>
      </x:c>
      <x:c r="X289" t="str">
        <x:v>Quito</x:v>
      </x:c>
      <x:c r="Y289" s="32" t="str">
        <x:v>Av. 10 de Agosto N45-20</x:v>
      </x:c>
      <x:c r="Z289" s="22" t="n">
        <x:v>45661</x:v>
      </x:c>
      <x:c r="AA289" t="str">
        <x:v>Recibido</x:v>
      </x:c>
      <x:c r="AB289" t="str">
        <x:v>30 días crédito</x:v>
      </x:c>
      <x:c r="AC289" s="32" t="str">
        <x:v>Entrega coordinada fuera de horario regular</x:v>
      </x:c>
    </x:row>
    <x:row r="290">
      <x:c r="A290" t="n">
        <x:v>289</x:v>
      </x:c>
      <x:c r="B290" s="22" t="n">
        <x:v>46141</x:v>
      </x:c>
      <x:c r="C290" t="str">
        <x:v>OC-2026-0289</x:v>
      </x:c>
      <x:c r="D290" t="str">
        <x:v>F-D005-202604-3936</x:v>
      </x:c>
      <x:c r="E290" t="str">
        <x:v>L2604-012-0289</x:v>
      </x:c>
      <x:c r="F290" t="str">
        <x:v>D005</x:v>
      </x:c>
      <x:c r="G290" s="32" t="str">
        <x:v>PharmaExpress Quito</x:v>
      </x:c>
      <x:c r="H290" t="str">
        <x:v>MED012</x:v>
      </x:c>
      <x:c r="I290" s="32" t="str">
        <x:v>Multivitamínico adulto</x:v>
      </x:c>
      <x:c r="J290" s="32" t="str">
        <x:v>Vitaminas</x:v>
      </x:c>
      <x:c r="K290" s="32" t="str">
        <x:v>Novartis</x:v>
      </x:c>
      <x:c r="L290" s="32" t="str">
        <x:v>Frasco x 30 tabletas</x:v>
      </x:c>
      <x:c r="M290" s="28" t="n">
        <x:v>24</x:v>
      </x:c>
      <x:c r="N290" s="28" t="n">
        <x:v>20</x:v>
      </x:c>
      <x:c r="O290" s="28" t="n">
        <x:f>M290*N290</x:f>
        <x:v>480</x:v>
      </x:c>
      <x:c r="P290" s="24" t="n">
        <x:v>4.45</x:v>
      </x:c>
      <x:c r="Q290" s="26" t="n">
        <x:v>0.11224864326521415</x:v>
      </x:c>
      <x:c r="R290" s="24" t="n">
        <x:f>O290*P290*Q290</x:f>
        <x:v>239.76310201449743</x:v>
      </x:c>
      <x:c r="S290" s="24" t="n">
        <x:f>P290*(1-Q290)</x:f>
        <x:v>3.9504935374697974</x:v>
      </x:c>
      <x:c r="T290" s="24" t="n">
        <x:f>O290*S290</x:f>
        <x:v>1896.2368979855028</x:v>
      </x:c>
      <x:c r="U290" t="str">
        <x:v>NORTE</x:v>
      </x:c>
      <x:c r="V290" t="str">
        <x:v>Farmacia Norte</x:v>
      </x:c>
      <x:c r="W290" t="str">
        <x:v>Zona Norte</x:v>
      </x:c>
      <x:c r="X290" t="str">
        <x:v>Quito</x:v>
      </x:c>
      <x:c r="Y290" s="32" t="str">
        <x:v>Av. 10 de Agosto N45-20</x:v>
      </x:c>
      <x:c r="Z290" s="22" t="n">
        <x:v>46146</x:v>
      </x:c>
      <x:c r="AA290" t="str">
        <x:v>Recibido</x:v>
      </x:c>
      <x:c r="AB290" t="str">
        <x:v>30 días crédito</x:v>
      </x:c>
      <x:c r="AC290" s="32" t="str"/>
    </x:row>
    <x:row r="291">
      <x:c r="A291" t="n">
        <x:v>290</x:v>
      </x:c>
      <x:c r="B291" s="22" t="n">
        <x:v>46242</x:v>
      </x:c>
      <x:c r="C291" t="str">
        <x:v>OC-2026-0290</x:v>
      </x:c>
      <x:c r="D291" t="str">
        <x:v>F-D001-202608-3678</x:v>
      </x:c>
      <x:c r="E291" t="str">
        <x:v>L2608-002-0290</x:v>
      </x:c>
      <x:c r="F291" t="str">
        <x:v>D001</x:v>
      </x:c>
      <x:c r="G291" s="32" t="str">
        <x:v>DistriFarma Andina S.A.</x:v>
      </x:c>
      <x:c r="H291" t="str">
        <x:v>MED002</x:v>
      </x:c>
      <x:c r="I291" s="32" t="str">
        <x:v>Ibuprofeno 400 mg</x:v>
      </x:c>
      <x:c r="J291" s="32" t="str">
        <x:v>Analgésicos</x:v>
      </x:c>
      <x:c r="K291" s="32" t="str">
        <x:v>La Santé</x:v>
      </x:c>
      <x:c r="L291" s="32" t="str">
        <x:v>Caja x 20 tabletas</x:v>
      </x:c>
      <x:c r="M291" s="28" t="n">
        <x:v>9</x:v>
      </x:c>
      <x:c r="N291" s="28" t="n">
        <x:v>24</x:v>
      </x:c>
      <x:c r="O291" s="28" t="n">
        <x:f>M291*N291</x:f>
        <x:v>216</x:v>
      </x:c>
      <x:c r="P291" s="24" t="n">
        <x:v>1.28</x:v>
      </x:c>
      <x:c r="Q291" s="26" t="n">
        <x:v>0.11071422977260927</x:v>
      </x:c>
      <x:c r="R291" s="24" t="n">
        <x:f>O291*P291*Q291</x:f>
        <x:v>30.610270247531012</x:v>
      </x:c>
      <x:c r="S291" s="24" t="n">
        <x:f>P291*(1-Q291)</x:f>
        <x:v>1.1382857858910602</x:v>
      </x:c>
      <x:c r="T291" s="24" t="n">
        <x:f>O291*S291</x:f>
        <x:v>245.869729752469</x:v>
      </x:c>
      <x:c r="U291" t="str">
        <x:v>SUR</x:v>
      </x:c>
      <x:c r="V291" t="str">
        <x:v>Farmacia del Sur</x:v>
      </x:c>
      <x:c r="W291" t="str">
        <x:v>Zona Sur</x:v>
      </x:c>
      <x:c r="X291" t="str">
        <x:v>Quito</x:v>
      </x:c>
      <x:c r="Y291" s="32" t="str">
        <x:v>Av. Maldonado S25-10</x:v>
      </x:c>
      <x:c r="Z291" s="22" t="n">
        <x:v>46244</x:v>
      </x:c>
      <x:c r="AA291" t="str">
        <x:v>Recibido</x:v>
      </x:c>
      <x:c r="AB291" t="str">
        <x:v>30 días crédito</x:v>
      </x:c>
      <x:c r="AC291" s="32" t="str"/>
    </x:row>
    <x:row r="292">
      <x:c r="A292" t="n">
        <x:v>291</x:v>
      </x:c>
      <x:c r="B292" s="22" t="n">
        <x:v>45930</x:v>
      </x:c>
      <x:c r="C292" t="str">
        <x:v>OC-2025-0291</x:v>
      </x:c>
      <x:c r="D292" t="str">
        <x:v>F-D005-202509-7245</x:v>
      </x:c>
      <x:c r="E292" t="str">
        <x:v>L2509-006-0291</x:v>
      </x:c>
      <x:c r="F292" t="str">
        <x:v>D005</x:v>
      </x:c>
      <x:c r="G292" s="32" t="str">
        <x:v>PharmaExpress Quito</x:v>
      </x:c>
      <x:c r="H292" t="str">
        <x:v>MED006</x:v>
      </x:c>
      <x:c r="I292" s="32" t="str">
        <x:v>Vitamina C 1 g</x:v>
      </x:c>
      <x:c r="J292" s="32" t="str">
        <x:v>Vitaminas</x:v>
      </x:c>
      <x:c r="K292" s="32" t="str">
        <x:v>Novartis</x:v>
      </x:c>
      <x:c r="L292" s="32" t="str">
        <x:v>Tubo x 10 efervescentes</x:v>
      </x:c>
      <x:c r="M292" s="28" t="n">
        <x:v>10</x:v>
      </x:c>
      <x:c r="N292" s="28" t="n">
        <x:v>10</x:v>
      </x:c>
      <x:c r="O292" s="28" t="n">
        <x:f>M292*N292</x:f>
        <x:v>100</x:v>
      </x:c>
      <x:c r="P292" s="24" t="n">
        <x:v>2.11</x:v>
      </x:c>
      <x:c r="Q292" s="26" t="n">
        <x:v>0.07203148296389912</x:v>
      </x:c>
      <x:c r="R292" s="24" t="n">
        <x:f>O292*P292*Q292</x:f>
        <x:v>15.198642905382714</x:v>
      </x:c>
      <x:c r="S292" s="24" t="n">
        <x:f>P292*(1-Q292)</x:f>
        <x:v>1.9580135709461726</x:v>
      </x:c>
      <x:c r="T292" s="24" t="n">
        <x:f>O292*S292</x:f>
        <x:v>195.80135709461726</x:v>
      </x:c>
      <x:c r="U292" t="str">
        <x:v>VALLE</x:v>
      </x:c>
      <x:c r="V292" t="str">
        <x:v>Farmacia Valle de los Chillos</x:v>
      </x:c>
      <x:c r="W292" t="str">
        <x:v>Zona Valle</x:v>
      </x:c>
      <x:c r="X292" t="str">
        <x:v>Sangolquí</x:v>
      </x:c>
      <x:c r="Y292" s="32" t="str">
        <x:v>Av. Calderón 101</x:v>
      </x:c>
      <x:c r="Z292" s="22" t="n">
        <x:v>45931</x:v>
      </x:c>
      <x:c r="AA292" t="str">
        <x:v>Recibido</x:v>
      </x:c>
      <x:c r="AB292" t="str">
        <x:v>30 días crédito</x:v>
      </x:c>
      <x:c r="AC292" s="32" t="str"/>
    </x:row>
    <x:row r="293">
      <x:c r="A293" t="n">
        <x:v>292</x:v>
      </x:c>
      <x:c r="B293" s="22" t="n">
        <x:v>46147</x:v>
      </x:c>
      <x:c r="C293" t="str">
        <x:v>OC-2026-0292</x:v>
      </x:c>
      <x:c r="D293" t="str">
        <x:v>F-D008-202605-8821</x:v>
      </x:c>
      <x:c r="E293" t="str">
        <x:v>L2605-009-0292</x:v>
      </x:c>
      <x:c r="F293" t="str">
        <x:v>D008</x:v>
      </x:c>
      <x:c r="G293" s="32" t="str">
        <x:v>Mayorista MedicPlus</x:v>
      </x:c>
      <x:c r="H293" t="str">
        <x:v>MED009</x:v>
      </x:c>
      <x:c r="I293" s="32" t="str">
        <x:v>Losartán 50 mg</x:v>
      </x:c>
      <x:c r="J293" s="32" t="str">
        <x:v>Cardiovasculares</x:v>
      </x:c>
      <x:c r="K293" s="32" t="str">
        <x:v>Laboratorios Bagó</x:v>
      </x:c>
      <x:c r="L293" s="32" t="str">
        <x:v>Caja x 30 tabletas</x:v>
      </x:c>
      <x:c r="M293" s="28" t="n">
        <x:v>18</x:v>
      </x:c>
      <x:c r="N293" s="28" t="n">
        <x:v>20</x:v>
      </x:c>
      <x:c r="O293" s="28" t="n">
        <x:f>M293*N293</x:f>
        <x:v>360</x:v>
      </x:c>
      <x:c r="P293" s="24" t="n">
        <x:v>3.1</x:v>
      </x:c>
      <x:c r="Q293" s="26" t="n">
        <x:v>0.10962644008955144</x:v>
      </x:c>
      <x:c r="R293" s="24" t="n">
        <x:f>O293*P293*Q293</x:f>
        <x:v>122.3431071399394</x:v>
      </x:c>
      <x:c r="S293" s="24" t="n">
        <x:f>P293*(1-Q293)</x:f>
        <x:v>2.7601580357223905</x:v>
      </x:c>
      <x:c r="T293" s="24" t="n">
        <x:f>O293*S293</x:f>
        <x:v>993.6568928600606</x:v>
      </x:c>
      <x:c r="U293" t="str">
        <x:v>NORTE</x:v>
      </x:c>
      <x:c r="V293" t="str">
        <x:v>Farmacia Norte</x:v>
      </x:c>
      <x:c r="W293" t="str">
        <x:v>Zona Norte</x:v>
      </x:c>
      <x:c r="X293" t="str">
        <x:v>Quito</x:v>
      </x:c>
      <x:c r="Y293" s="32" t="str">
        <x:v>Av. 10 de Agosto N45-20</x:v>
      </x:c>
      <x:c r="Z293" s="22" t="n">
        <x:v>46148</x:v>
      </x:c>
      <x:c r="AA293" t="str">
        <x:v>Recibido</x:v>
      </x:c>
      <x:c r="AB293" t="str">
        <x:v>30 días crédito</x:v>
      </x:c>
      <x:c r="AC293" s="32" t="str"/>
    </x:row>
    <x:row r="294">
      <x:c r="A294" t="n">
        <x:v>293</x:v>
      </x:c>
      <x:c r="B294" s="22" t="n">
        <x:v>46075</x:v>
      </x:c>
      <x:c r="C294" t="str">
        <x:v>OC-2026-0293</x:v>
      </x:c>
      <x:c r="D294" t="str">
        <x:v>F-D004-202602-7810</x:v>
      </x:c>
      <x:c r="E294" t="str">
        <x:v>L2602-011-0293</x:v>
      </x:c>
      <x:c r="F294" t="str">
        <x:v>D004</x:v>
      </x:c>
      <x:c r="G294" s="32" t="str">
        <x:v>Distribuidora Salud Total</x:v>
      </x:c>
      <x:c r="H294" t="str">
        <x:v>MED011</x:v>
      </x:c>
      <x:c r="I294" s="32" t="str">
        <x:v>Jarabe antigripal</x:v>
      </x:c>
      <x:c r="J294" s="32" t="str">
        <x:v>Antigripales</x:v>
      </x:c>
      <x:c r="K294" s="32" t="str">
        <x:v>MEDICAMENTA</x:v>
      </x:c>
      <x:c r="L294" s="32" t="str">
        <x:v>Frasco 120 ml</x:v>
      </x:c>
      <x:c r="M294" s="28" t="n">
        <x:v>2</x:v>
      </x:c>
      <x:c r="N294" s="28" t="n">
        <x:v>50</x:v>
      </x:c>
      <x:c r="O294" s="28" t="n">
        <x:f>M294*N294</x:f>
        <x:v>100</x:v>
      </x:c>
      <x:c r="P294" s="24" t="n">
        <x:v>3.2</x:v>
      </x:c>
      <x:c r="Q294" s="26" t="n">
        <x:v>0.0985867702193354</x:v>
      </x:c>
      <x:c r="R294" s="24" t="n">
        <x:f>O294*P294*Q294</x:f>
        <x:v>31.547766470187327</x:v>
      </x:c>
      <x:c r="S294" s="24" t="n">
        <x:f>P294*(1-Q294)</x:f>
        <x:v>2.884522335298127</x:v>
      </x:c>
      <x:c r="T294" s="24" t="n">
        <x:f>O294*S294</x:f>
        <x:v>288.4522335298127</x:v>
      </x:c>
      <x:c r="U294" t="str">
        <x:v>VALLE</x:v>
      </x:c>
      <x:c r="V294" t="str">
        <x:v>Farmacia Valle de los Chillos</x:v>
      </x:c>
      <x:c r="W294" t="str">
        <x:v>Zona Valle</x:v>
      </x:c>
      <x:c r="X294" t="str">
        <x:v>Sangolquí</x:v>
      </x:c>
      <x:c r="Y294" s="32" t="str">
        <x:v>Av. Calderón 101</x:v>
      </x:c>
      <x:c r="Z294" s="22" t="n">
        <x:v>46080</x:v>
      </x:c>
      <x:c r="AA294" t="str">
        <x:v>Recibido</x:v>
      </x:c>
      <x:c r="AB294" t="str">
        <x:v>45 días crédito</x:v>
      </x:c>
      <x:c r="AC294" s="32" t="str"/>
    </x:row>
    <x:row r="295">
      <x:c r="A295" t="n">
        <x:v>294</x:v>
      </x:c>
      <x:c r="B295" s="22" t="n">
        <x:v>46340</x:v>
      </x:c>
      <x:c r="C295" t="str">
        <x:v>OC-2026-0294</x:v>
      </x:c>
      <x:c r="D295" t="str">
        <x:v>F-D002-202611-7135</x:v>
      </x:c>
      <x:c r="E295" t="str">
        <x:v>L2611-004-0294</x:v>
      </x:c>
      <x:c r="F295" t="str">
        <x:v>D002</x:v>
      </x:c>
      <x:c r="G295" s="32" t="str">
        <x:v>MedSupply Ecuador Cía. Ltda.</x:v>
      </x:c>
      <x:c r="H295" t="str">
        <x:v>MED004</x:v>
      </x:c>
      <x:c r="I295" s="32" t="str">
        <x:v>Azitromicina 500 mg</x:v>
      </x:c>
      <x:c r="J295" s="32" t="str">
        <x:v>Antibióticos</x:v>
      </x:c>
      <x:c r="K295" s="32" t="str">
        <x:v>Pfizer</x:v>
      </x:c>
      <x:c r="L295" s="32" t="str">
        <x:v>Caja x 3 tabletas</x:v>
      </x:c>
      <x:c r="M295" s="28" t="n">
        <x:v>10</x:v>
      </x:c>
      <x:c r="N295" s="28" t="n">
        <x:v>10</x:v>
      </x:c>
      <x:c r="O295" s="28" t="n">
        <x:f>M295*N295</x:f>
        <x:v>100</x:v>
      </x:c>
      <x:c r="P295" s="24" t="n">
        <x:v>4.67</x:v>
      </x:c>
      <x:c r="Q295" s="26" t="n">
        <x:v>0.037326621199051425</x:v>
      </x:c>
      <x:c r="R295" s="24" t="n">
        <x:f>O295*P295*Q295</x:f>
        <x:v>17.431532099957014</x:v>
      </x:c>
      <x:c r="S295" s="24" t="n">
        <x:f>P295*(1-Q295)</x:f>
        <x:v>4.49568467900043</x:v>
      </x:c>
      <x:c r="T295" s="24" t="n">
        <x:f>O295*S295</x:f>
        <x:v>449.568467900043</x:v>
      </x:c>
      <x:c r="U295" t="str">
        <x:v>VALLE</x:v>
      </x:c>
      <x:c r="V295" t="str">
        <x:v>Farmacia Valle de los Chillos</x:v>
      </x:c>
      <x:c r="W295" t="str">
        <x:v>Zona Valle</x:v>
      </x:c>
      <x:c r="X295" t="str">
        <x:v>Sangolquí</x:v>
      </x:c>
      <x:c r="Y295" s="32" t="str">
        <x:v>Av. Calderón 101</x:v>
      </x:c>
      <x:c r="Z295" s="22" t="n">
        <x:v>46342</x:v>
      </x:c>
      <x:c r="AA295" t="str">
        <x:v>Recibido</x:v>
      </x:c>
      <x:c r="AB295" t="str">
        <x:v>15 días crédito</x:v>
      </x:c>
      <x:c r="AC295" s="32" t="str"/>
    </x:row>
    <x:row r="296">
      <x:c r="A296" t="n">
        <x:v>295</x:v>
      </x:c>
      <x:c r="B296" s="22" t="n">
        <x:v>46370</x:v>
      </x:c>
      <x:c r="C296" t="str">
        <x:v>OC-2026-0295</x:v>
      </x:c>
      <x:c r="D296" t="str">
        <x:v>F-D005-202612-2455</x:v>
      </x:c>
      <x:c r="E296" t="str">
        <x:v>L2612-004-0295</x:v>
      </x:c>
      <x:c r="F296" t="str">
        <x:v>D005</x:v>
      </x:c>
      <x:c r="G296" s="32" t="str">
        <x:v>PharmaExpress Quito</x:v>
      </x:c>
      <x:c r="H296" t="str">
        <x:v>MED004</x:v>
      </x:c>
      <x:c r="I296" s="32" t="str">
        <x:v>Azitromicina 500 mg</x:v>
      </x:c>
      <x:c r="J296" s="32" t="str">
        <x:v>Antibióticos</x:v>
      </x:c>
      <x:c r="K296" s="32" t="str">
        <x:v>Pfizer</x:v>
      </x:c>
      <x:c r="L296" s="32" t="str">
        <x:v>Caja x 3 tabletas</x:v>
      </x:c>
      <x:c r="M296" s="28" t="n">
        <x:v>9</x:v>
      </x:c>
      <x:c r="N296" s="28" t="n">
        <x:v>20</x:v>
      </x:c>
      <x:c r="O296" s="28" t="n">
        <x:f>M296*N296</x:f>
        <x:v>180</x:v>
      </x:c>
      <x:c r="P296" s="24" t="n">
        <x:v>4.57</x:v>
      </x:c>
      <x:c r="Q296" s="26" t="n">
        <x:v>0.06895788426324248</x:v>
      </x:c>
      <x:c r="R296" s="24" t="n">
        <x:f>O296*P296*Q296</x:f>
        <x:v>56.72475559494327</x:v>
      </x:c>
      <x:c r="S296" s="24" t="n">
        <x:f>P296*(1-Q296)</x:f>
        <x:v>4.254862468916982</x:v>
      </x:c>
      <x:c r="T296" s="24" t="n">
        <x:f>O296*S296</x:f>
        <x:v>765.8752444050567</x:v>
      </x:c>
      <x:c r="U296" t="str">
        <x:v>SUR</x:v>
      </x:c>
      <x:c r="V296" t="str">
        <x:v>Farmacia del Sur</x:v>
      </x:c>
      <x:c r="W296" t="str">
        <x:v>Zona Sur</x:v>
      </x:c>
      <x:c r="X296" t="str">
        <x:v>Quito</x:v>
      </x:c>
      <x:c r="Y296" s="32" t="str">
        <x:v>Av. Maldonado S25-10</x:v>
      </x:c>
      <x:c r="Z296" s="22" t="n">
        <x:v>46371</x:v>
      </x:c>
      <x:c r="AA296" t="str">
        <x:v>Recibido</x:v>
      </x:c>
      <x:c r="AB296" t="str">
        <x:v>30 días crédito</x:v>
      </x:c>
      <x:c r="AC296" s="32" t="str"/>
    </x:row>
    <x:row r="297">
      <x:c r="A297" t="n">
        <x:v>296</x:v>
      </x:c>
      <x:c r="B297" s="22" t="n">
        <x:v>45873</x:v>
      </x:c>
      <x:c r="C297" t="str">
        <x:v>OC-2025-0296</x:v>
      </x:c>
      <x:c r="D297" t="str">
        <x:v>F-D008-202508-1317</x:v>
      </x:c>
      <x:c r="E297" t="str">
        <x:v>L2508-009-0296</x:v>
      </x:c>
      <x:c r="F297" t="str">
        <x:v>D008</x:v>
      </x:c>
      <x:c r="G297" s="32" t="str">
        <x:v>Mayorista MedicPlus</x:v>
      </x:c>
      <x:c r="H297" t="str">
        <x:v>MED009</x:v>
      </x:c>
      <x:c r="I297" s="32" t="str">
        <x:v>Losartán 50 mg</x:v>
      </x:c>
      <x:c r="J297" s="32" t="str">
        <x:v>Cardiovasculares</x:v>
      </x:c>
      <x:c r="K297" s="32" t="str">
        <x:v>Laboratorios Bagó</x:v>
      </x:c>
      <x:c r="L297" s="32" t="str">
        <x:v>Caja x 30 tabletas</x:v>
      </x:c>
      <x:c r="M297" s="28" t="n">
        <x:v>3</x:v>
      </x:c>
      <x:c r="N297" s="28" t="n">
        <x:v>20</x:v>
      </x:c>
      <x:c r="O297" s="28" t="n">
        <x:f>M297*N297</x:f>
        <x:v>60</x:v>
      </x:c>
      <x:c r="P297" s="24" t="n">
        <x:v>2.89</x:v>
      </x:c>
      <x:c r="Q297" s="26" t="n">
        <x:v>0.11669325460189477</x:v>
      </x:c>
      <x:c r="R297" s="24" t="n">
        <x:f>O297*P297*Q297</x:f>
        <x:v>20.23461034796855</x:v>
      </x:c>
      <x:c r="S297" s="24" t="n">
        <x:f>P297*(1-Q297)</x:f>
        <x:v>2.5527564942005245</x:v>
      </x:c>
      <x:c r="T297" s="24" t="n">
        <x:f>O297*S297</x:f>
        <x:v>153.16538965203148</x:v>
      </x:c>
      <x:c r="U297" t="str">
        <x:v>CENTRO</x:v>
      </x:c>
      <x:c r="V297" t="str">
        <x:v>Farmacia Centro Histórico</x:v>
      </x:c>
      <x:c r="W297" t="str">
        <x:v>Zona Centro</x:v>
      </x:c>
      <x:c r="X297" t="str">
        <x:v>Quito</x:v>
      </x:c>
      <x:c r="Y297" s="32" t="str">
        <x:v>Guayaquil y Chile</x:v>
      </x:c>
      <x:c r="Z297" s="22" t="n">
        <x:v>45875</x:v>
      </x:c>
      <x:c r="AA297" t="str">
        <x:v>Recibido</x:v>
      </x:c>
      <x:c r="AB297" t="str">
        <x:v>30 días crédito</x:v>
      </x:c>
      <x:c r="AC297" s="32" t="str"/>
    </x:row>
    <x:row r="298">
      <x:c r="A298" t="n">
        <x:v>297</x:v>
      </x:c>
      <x:c r="B298" s="22" t="n">
        <x:v>46128</x:v>
      </x:c>
      <x:c r="C298" t="str">
        <x:v>OC-2026-0297</x:v>
      </x:c>
      <x:c r="D298" t="str">
        <x:v>F-D008-202604-9723</x:v>
      </x:c>
      <x:c r="E298" t="str">
        <x:v>L2604-002-0297</x:v>
      </x:c>
      <x:c r="F298" t="str">
        <x:v>D008</x:v>
      </x:c>
      <x:c r="G298" s="32" t="str">
        <x:v>Mayorista MedicPlus</x:v>
      </x:c>
      <x:c r="H298" t="str">
        <x:v>MED002</x:v>
      </x:c>
      <x:c r="I298" s="32" t="str">
        <x:v>Ibuprofeno 400 mg</x:v>
      </x:c>
      <x:c r="J298" s="32" t="str">
        <x:v>Analgésicos</x:v>
      </x:c>
      <x:c r="K298" s="32" t="str">
        <x:v>La Santé</x:v>
      </x:c>
      <x:c r="L298" s="32" t="str">
        <x:v>Caja x 20 tabletas</x:v>
      </x:c>
      <x:c r="M298" s="28" t="n">
        <x:v>8</x:v>
      </x:c>
      <x:c r="N298" s="28" t="n">
        <x:v>30</x:v>
      </x:c>
      <x:c r="O298" s="28" t="n">
        <x:f>M298*N298</x:f>
        <x:v>240</x:v>
      </x:c>
      <x:c r="P298" s="24" t="n">
        <x:v>1.34</x:v>
      </x:c>
      <x:c r="Q298" s="26" t="n">
        <x:v>0.09233934811993143</x:v>
      </x:c>
      <x:c r="R298" s="24" t="n">
        <x:f>O298*P298*Q298</x:f>
        <x:v>29.69633435536995</x:v>
      </x:c>
      <x:c r="S298" s="24" t="n">
        <x:f>P298*(1-Q298)</x:f>
        <x:v>1.216265273519292</x:v>
      </x:c>
      <x:c r="T298" s="24" t="n">
        <x:f>O298*S298</x:f>
        <x:v>291.9036656446301</x:v>
      </x:c>
      <x:c r="U298" t="str">
        <x:v>VALLE</x:v>
      </x:c>
      <x:c r="V298" t="str">
        <x:v>Farmacia Valle de los Chillos</x:v>
      </x:c>
      <x:c r="W298" t="str">
        <x:v>Zona Valle</x:v>
      </x:c>
      <x:c r="X298" t="str">
        <x:v>Sangolquí</x:v>
      </x:c>
      <x:c r="Y298" s="32" t="str">
        <x:v>Av. Calderón 101</x:v>
      </x:c>
      <x:c r="Z298" s="22" t="n">
        <x:v>46129</x:v>
      </x:c>
      <x:c r="AA298" t="str">
        <x:v>Recibido</x:v>
      </x:c>
      <x:c r="AB298" t="str">
        <x:v>30 días crédito</x:v>
      </x:c>
      <x:c r="AC298" s="32" t="str"/>
    </x:row>
    <x:row r="299">
      <x:c r="A299" t="n">
        <x:v>298</x:v>
      </x:c>
      <x:c r="B299" s="22" t="n">
        <x:v>45783</x:v>
      </x:c>
      <x:c r="C299" t="str">
        <x:v>OC-2025-0298</x:v>
      </x:c>
      <x:c r="D299" t="str">
        <x:v>F-D004-202505-8628</x:v>
      </x:c>
      <x:c r="E299" t="str">
        <x:v>L2505-009-0298</x:v>
      </x:c>
      <x:c r="F299" t="str">
        <x:v>D004</x:v>
      </x:c>
      <x:c r="G299" s="32" t="str">
        <x:v>Distribuidora Salud Total</x:v>
      </x:c>
      <x:c r="H299" t="str">
        <x:v>MED009</x:v>
      </x:c>
      <x:c r="I299" s="32" t="str">
        <x:v>Losartán 50 mg</x:v>
      </x:c>
      <x:c r="J299" s="32" t="str">
        <x:v>Cardiovasculares</x:v>
      </x:c>
      <x:c r="K299" s="32" t="str">
        <x:v>Laboratorios Bagó</x:v>
      </x:c>
      <x:c r="L299" s="32" t="str">
        <x:v>Caja x 30 tabletas</x:v>
      </x:c>
      <x:c r="M299" s="28" t="n">
        <x:v>4</x:v>
      </x:c>
      <x:c r="N299" s="28" t="n">
        <x:v>50</x:v>
      </x:c>
      <x:c r="O299" s="28" t="n">
        <x:f>M299*N299</x:f>
        <x:v>200</x:v>
      </x:c>
      <x:c r="P299" s="24" t="n">
        <x:v>2.94</x:v>
      </x:c>
      <x:c r="Q299" s="26" t="n">
        <x:v>0.12701618789629776</x:v>
      </x:c>
      <x:c r="R299" s="24" t="n">
        <x:f>O299*P299*Q299</x:f>
        <x:v>74.68551848302309</x:v>
      </x:c>
      <x:c r="S299" s="24" t="n">
        <x:f>P299*(1-Q299)</x:f>
        <x:v>2.5665724075848844</x:v>
      </x:c>
      <x:c r="T299" s="24" t="n">
        <x:f>O299*S299</x:f>
        <x:v>513.3144815169769</x:v>
      </x:c>
      <x:c r="U299" t="str">
        <x:v>CENTRO</x:v>
      </x:c>
      <x:c r="V299" t="str">
        <x:v>Farmacia Centro Histórico</x:v>
      </x:c>
      <x:c r="W299" t="str">
        <x:v>Zona Centro</x:v>
      </x:c>
      <x:c r="X299" t="str">
        <x:v>Quito</x:v>
      </x:c>
      <x:c r="Y299" s="32" t="str">
        <x:v>Guayaquil y Chile</x:v>
      </x:c>
      <x:c r="Z299" s="22" t="n">
        <x:v>45784</x:v>
      </x:c>
      <x:c r="AA299" t="str">
        <x:v>Recibido</x:v>
      </x:c>
      <x:c r="AB299" t="str">
        <x:v>45 días crédito</x:v>
      </x:c>
      <x:c r="AC299" s="32" t="str"/>
    </x:row>
    <x:row r="300">
      <x:c r="A300" t="n">
        <x:v>299</x:v>
      </x:c>
      <x:c r="B300" s="22" t="n">
        <x:v>46364</x:v>
      </x:c>
      <x:c r="C300" t="str">
        <x:v>OC-2026-0299</x:v>
      </x:c>
      <x:c r="D300" t="str">
        <x:v>F-D006-202612-8241</x:v>
      </x:c>
      <x:c r="E300" t="str">
        <x:v>L2612-008-0299</x:v>
      </x:c>
      <x:c r="F300" t="str">
        <x:v>D006</x:v>
      </x:c>
      <x:c r="G300" s="32" t="str">
        <x:v>Insumos Médicos del Pacífico</x:v>
      </x:c>
      <x:c r="H300" t="str">
        <x:v>MED008</x:v>
      </x:c>
      <x:c r="I300" s="32" t="str">
        <x:v>Diclofenaco gel</x:v>
      </x:c>
      <x:c r="J300" s="32" t="str">
        <x:v>Dermatológicos</x:v>
      </x:c>
      <x:c r="K300" s="32" t="str">
        <x:v>Bayer</x:v>
      </x:c>
      <x:c r="L300" s="32" t="str">
        <x:v>Tubo 50 g</x:v>
      </x:c>
      <x:c r="M300" s="28" t="n">
        <x:v>10</x:v>
      </x:c>
      <x:c r="N300" s="28" t="n">
        <x:v>50</x:v>
      </x:c>
      <x:c r="O300" s="28" t="n">
        <x:f>M300*N300</x:f>
        <x:v>500</x:v>
      </x:c>
      <x:c r="P300" s="24" t="n">
        <x:v>2.09</x:v>
      </x:c>
      <x:c r="Q300" s="26" t="n">
        <x:v>0.1526061574100513</x:v>
      </x:c>
      <x:c r="R300" s="24" t="n">
        <x:f>O300*P300*Q300</x:f>
        <x:v>159.4734344935036</x:v>
      </x:c>
      <x:c r="S300" s="24" t="n">
        <x:f>P300*(1-Q300)</x:f>
        <x:v>1.7710531310129929</x:v>
      </x:c>
      <x:c r="T300" s="24" t="n">
        <x:f>O300*S300</x:f>
        <x:v>885.5265655064965</x:v>
      </x:c>
      <x:c r="U300" t="str">
        <x:v>NORTE</x:v>
      </x:c>
      <x:c r="V300" t="str">
        <x:v>Farmacia Norte</x:v>
      </x:c>
      <x:c r="W300" t="str">
        <x:v>Zona Norte</x:v>
      </x:c>
      <x:c r="X300" t="str">
        <x:v>Quito</x:v>
      </x:c>
      <x:c r="Y300" s="32" t="str">
        <x:v>Av. 10 de Agosto N45-20</x:v>
      </x:c>
      <x:c r="Z300" s="22" t="n">
        <x:v>46369</x:v>
      </x:c>
      <x:c r="AA300" t="str">
        <x:v>Recibido</x:v>
      </x:c>
      <x:c r="AB300" t="str">
        <x:v>60 días crédito</x:v>
      </x:c>
      <x:c r="AC300" s="32" t="str">
        <x:v>Descuento por volumen</x:v>
      </x:c>
    </x:row>
    <x:row r="301">
      <x:c r="A301" t="n">
        <x:v>300</x:v>
      </x:c>
      <x:c r="B301" s="22" t="n">
        <x:v>45760</x:v>
      </x:c>
      <x:c r="C301" t="str">
        <x:v>OC-2025-0300</x:v>
      </x:c>
      <x:c r="D301" t="str">
        <x:v>F-D004-202504-9423</x:v>
      </x:c>
      <x:c r="E301" t="str">
        <x:v>L2504-014-0300</x:v>
      </x:c>
      <x:c r="F301" t="str">
        <x:v>D004</x:v>
      </x:c>
      <x:c r="G301" s="32" t="str">
        <x:v>Distribuidora Salud Total</x:v>
      </x:c>
      <x:c r="H301" t="str">
        <x:v>MED014</x:v>
      </x:c>
      <x:c r="I301" s="32" t="str">
        <x:v>Crema antimicótica</x:v>
      </x:c>
      <x:c r="J301" s="32" t="str">
        <x:v>Dermatológicos</x:v>
      </x:c>
      <x:c r="K301" s="32" t="str">
        <x:v>Acromax</x:v>
      </x:c>
      <x:c r="L301" s="32" t="str">
        <x:v>Tubo 30 g</x:v>
      </x:c>
      <x:c r="M301" s="28" t="n">
        <x:v>10</x:v>
      </x:c>
      <x:c r="N301" s="28" t="n">
        <x:v>60</x:v>
      </x:c>
      <x:c r="O301" s="28" t="n">
        <x:f>M301*N301</x:f>
        <x:v>600</x:v>
      </x:c>
      <x:c r="P301" s="24" t="n">
        <x:v>2.34</x:v>
      </x:c>
      <x:c r="Q301" s="26" t="n">
        <x:v>0.14507126138087217</x:v>
      </x:c>
      <x:c r="R301" s="24" t="n">
        <x:f>O301*P301*Q301</x:f>
        <x:v>203.68005097874453</x:v>
      </x:c>
      <x:c r="S301" s="24" t="n">
        <x:f>P301*(1-Q301)</x:f>
        <x:v>2.000533248368759</x:v>
      </x:c>
      <x:c r="T301" s="24" t="n">
        <x:f>O301*S301</x:f>
        <x:v>1200.3199490212553</x:v>
      </x:c>
      <x:c r="U301" t="str">
        <x:v>VALLE</x:v>
      </x:c>
      <x:c r="V301" t="str">
        <x:v>Farmacia Valle de los Chillos</x:v>
      </x:c>
      <x:c r="W301" t="str">
        <x:v>Zona Valle</x:v>
      </x:c>
      <x:c r="X301" t="str">
        <x:v>Sangolquí</x:v>
      </x:c>
      <x:c r="Y301" s="32" t="str">
        <x:v>Av. Calderón 101</x:v>
      </x:c>
      <x:c r="Z301" s="22" t="n">
        <x:v>45763</x:v>
      </x:c>
      <x:c r="AA301" t="str">
        <x:v>Recibido</x:v>
      </x:c>
      <x:c r="AB301" t="str">
        <x:v>45 días crédito</x:v>
      </x:c>
      <x:c r="AC301" s="32" t="str">
        <x:v>Descuento por volumen</x:v>
      </x:c>
    </x:row>
    <x:row r="302">
      <x:c r="A302" t="n">
        <x:v>301</x:v>
      </x:c>
      <x:c r="B302" s="22" t="n">
        <x:v>46365</x:v>
      </x:c>
      <x:c r="C302" t="str">
        <x:v>OC-2026-0301</x:v>
      </x:c>
      <x:c r="D302" t="str">
        <x:v>F-D001-202612-1697</x:v>
      </x:c>
      <x:c r="E302" t="str">
        <x:v>L2612-011-0301</x:v>
      </x:c>
      <x:c r="F302" t="str">
        <x:v>D001</x:v>
      </x:c>
      <x:c r="G302" s="32" t="str">
        <x:v>DistriFarma Andina S.A.</x:v>
      </x:c>
      <x:c r="H302" t="str">
        <x:v>MED011</x:v>
      </x:c>
      <x:c r="I302" s="32" t="str">
        <x:v>Jarabe antigripal</x:v>
      </x:c>
      <x:c r="J302" s="32" t="str">
        <x:v>Antigripales</x:v>
      </x:c>
      <x:c r="K302" s="32" t="str">
        <x:v>MEDICAMENTA</x:v>
      </x:c>
      <x:c r="L302" s="32" t="str">
        <x:v>Frasco 120 ml</x:v>
      </x:c>
      <x:c r="M302" s="28" t="n">
        <x:v>8</x:v>
      </x:c>
      <x:c r="N302" s="28" t="n">
        <x:v>10</x:v>
      </x:c>
      <x:c r="O302" s="28" t="n">
        <x:f>M302*N302</x:f>
        <x:v>80</x:v>
      </x:c>
      <x:c r="P302" s="24" t="n">
        <x:v>2.92</x:v>
      </x:c>
      <x:c r="Q302" s="26" t="n">
        <x:v>0.09905426292474707</x:v>
      </x:c>
      <x:c r="R302" s="24" t="n">
        <x:f>O302*P302*Q302</x:f>
        <x:v>23.139075819220917</x:v>
      </x:c>
      <x:c r="S302" s="24" t="n">
        <x:f>P302*(1-Q302)</x:f>
        <x:v>2.6307615522597385</x:v>
      </x:c>
      <x:c r="T302" s="24" t="n">
        <x:f>O302*S302</x:f>
        <x:v>210.46092418077907</x:v>
      </x:c>
      <x:c r="U302" t="str">
        <x:v>SUR</x:v>
      </x:c>
      <x:c r="V302" t="str">
        <x:v>Farmacia del Sur</x:v>
      </x:c>
      <x:c r="W302" t="str">
        <x:v>Zona Sur</x:v>
      </x:c>
      <x:c r="X302" t="str">
        <x:v>Quito</x:v>
      </x:c>
      <x:c r="Y302" s="32" t="str">
        <x:v>Av. Maldonado S25-10</x:v>
      </x:c>
      <x:c r="Z302" s="22" t="n">
        <x:v>46367</x:v>
      </x:c>
      <x:c r="AA302" t="str">
        <x:v>Recibido</x:v>
      </x:c>
      <x:c r="AB302" t="str">
        <x:v>30 días crédito</x:v>
      </x:c>
      <x:c r="AC302" s="32" t="str"/>
    </x:row>
    <x:row r="303">
      <x:c r="A303" t="n">
        <x:v>302</x:v>
      </x:c>
      <x:c r="B303" s="22" t="n">
        <x:v>46225</x:v>
      </x:c>
      <x:c r="C303" t="str">
        <x:v>OC-2026-0302</x:v>
      </x:c>
      <x:c r="D303" t="str">
        <x:v>F-D008-202607-6734</x:v>
      </x:c>
      <x:c r="E303" t="str">
        <x:v>L2607-007-0302</x:v>
      </x:c>
      <x:c r="F303" t="str">
        <x:v>D008</x:v>
      </x:c>
      <x:c r="G303" s="32" t="str">
        <x:v>Mayorista MedicPlus</x:v>
      </x:c>
      <x:c r="H303" t="str">
        <x:v>MED007</x:v>
      </x:c>
      <x:c r="I303" s="32" t="str">
        <x:v>Omeprazol 20 mg</x:v>
      </x:c>
      <x:c r="J303" s="32" t="str">
        <x:v>Gastrointestinales</x:v>
      </x:c>
      <x:c r="K303" s="32" t="str">
        <x:v>La Santé</x:v>
      </x:c>
      <x:c r="L303" s="32" t="str">
        <x:v>Caja x 30 cápsulas</x:v>
      </x:c>
      <x:c r="M303" s="28" t="n">
        <x:v>9</x:v>
      </x:c>
      <x:c r="N303" s="28" t="n">
        <x:v>20</x:v>
      </x:c>
      <x:c r="O303" s="28" t="n">
        <x:f>M303*N303</x:f>
        <x:v>180</x:v>
      </x:c>
      <x:c r="P303" s="24" t="n">
        <x:v>3.45</x:v>
      </x:c>
      <x:c r="Q303" s="26" t="n">
        <x:v>0.10091464029248426</x:v>
      </x:c>
      <x:c r="R303" s="24" t="n">
        <x:f>O303*P303*Q303</x:f>
        <x:v>62.66799162163272</x:v>
      </x:c>
      <x:c r="S303" s="24" t="n">
        <x:f>P303*(1-Q303)</x:f>
        <x:v>3.101844490990929</x:v>
      </x:c>
      <x:c r="T303" s="24" t="n">
        <x:f>O303*S303</x:f>
        <x:v>558.3320083783673</x:v>
      </x:c>
      <x:c r="U303" t="str">
        <x:v>NORTE</x:v>
      </x:c>
      <x:c r="V303" t="str">
        <x:v>Farmacia Norte</x:v>
      </x:c>
      <x:c r="W303" t="str">
        <x:v>Zona Norte</x:v>
      </x:c>
      <x:c r="X303" t="str">
        <x:v>Quito</x:v>
      </x:c>
      <x:c r="Y303" s="32" t="str">
        <x:v>Av. 10 de Agosto N45-20</x:v>
      </x:c>
      <x:c r="Z303" s="22" t="n">
        <x:v>46227</x:v>
      </x:c>
      <x:c r="AA303" t="str">
        <x:v>Recibido</x:v>
      </x:c>
      <x:c r="AB303" t="str">
        <x:v>30 días crédito</x:v>
      </x:c>
      <x:c r="AC303" s="32" t="str"/>
    </x:row>
    <x:row r="304">
      <x:c r="A304" t="n">
        <x:v>303</x:v>
      </x:c>
      <x:c r="B304" s="22" t="n">
        <x:v>46224</x:v>
      </x:c>
      <x:c r="C304" t="str">
        <x:v>OC-2026-0303</x:v>
      </x:c>
      <x:c r="D304" t="str">
        <x:v>F-D007-202607-4249</x:v>
      </x:c>
      <x:c r="E304" t="str">
        <x:v>L2607-014-0303</x:v>
      </x:c>
      <x:c r="F304" t="str">
        <x:v>D007</x:v>
      </x:c>
      <x:c r="G304" s="32" t="str">
        <x:v>Comercializadora BioFarma</x:v>
      </x:c>
      <x:c r="H304" t="str">
        <x:v>MED014</x:v>
      </x:c>
      <x:c r="I304" s="32" t="str">
        <x:v>Crema antimicótica</x:v>
      </x:c>
      <x:c r="J304" s="32" t="str">
        <x:v>Dermatológicos</x:v>
      </x:c>
      <x:c r="K304" s="32" t="str">
        <x:v>Acromax</x:v>
      </x:c>
      <x:c r="L304" s="32" t="str">
        <x:v>Tubo 30 g</x:v>
      </x:c>
      <x:c r="M304" s="28" t="n">
        <x:v>20</x:v>
      </x:c>
      <x:c r="N304" s="28" t="n">
        <x:v>24</x:v>
      </x:c>
      <x:c r="O304" s="28" t="n">
        <x:f>M304*N304</x:f>
        <x:v>480</x:v>
      </x:c>
      <x:c r="P304" s="24" t="n">
        <x:v>2.11</x:v>
      </x:c>
      <x:c r="Q304" s="26" t="n">
        <x:v>0.09555794086975739</x:v>
      </x:c>
      <x:c r="R304" s="24" t="n">
        <x:f>O304*P304*Q304</x:f>
        <x:v>96.78108251289028</x:v>
      </x:c>
      <x:c r="S304" s="24" t="n">
        <x:f>P304*(1-Q304)</x:f>
        <x:v>1.908372744764812</x:v>
      </x:c>
      <x:c r="T304" s="24" t="n">
        <x:f>O304*S304</x:f>
        <x:v>916.0189174871098</x:v>
      </x:c>
      <x:c r="U304" t="str">
        <x:v>CENTRO</x:v>
      </x:c>
      <x:c r="V304" t="str">
        <x:v>Farmacia Centro Histórico</x:v>
      </x:c>
      <x:c r="W304" t="str">
        <x:v>Zona Centro</x:v>
      </x:c>
      <x:c r="X304" t="str">
        <x:v>Quito</x:v>
      </x:c>
      <x:c r="Y304" s="32" t="str">
        <x:v>Guayaquil y Chile</x:v>
      </x:c>
      <x:c r="Z304" s="22" t="n">
        <x:v>46226</x:v>
      </x:c>
      <x:c r="AA304" t="str">
        <x:v>Recibido</x:v>
      </x:c>
      <x:c r="AB304" t="str">
        <x:v>15 días crédito</x:v>
      </x:c>
      <x:c r="AC304" s="32" t="str"/>
    </x:row>
    <x:row r="305">
      <x:c r="A305" t="n">
        <x:v>304</x:v>
      </x:c>
      <x:c r="B305" s="22" t="n">
        <x:v>46135</x:v>
      </x:c>
      <x:c r="C305" t="str">
        <x:v>OC-2026-0304</x:v>
      </x:c>
      <x:c r="D305" t="str">
        <x:v>F-D002-202604-9845</x:v>
      </x:c>
      <x:c r="E305" t="str">
        <x:v>L2604-008-0304</x:v>
      </x:c>
      <x:c r="F305" t="str">
        <x:v>D002</x:v>
      </x:c>
      <x:c r="G305" s="32" t="str">
        <x:v>MedSupply Ecuador Cía. Ltda.</x:v>
      </x:c>
      <x:c r="H305" t="str">
        <x:v>MED008</x:v>
      </x:c>
      <x:c r="I305" s="32" t="str">
        <x:v>Diclofenaco gel</x:v>
      </x:c>
      <x:c r="J305" s="32" t="str">
        <x:v>Dermatológicos</x:v>
      </x:c>
      <x:c r="K305" s="32" t="str">
        <x:v>Bayer</x:v>
      </x:c>
      <x:c r="L305" s="32" t="str">
        <x:v>Tubo 50 g</x:v>
      </x:c>
      <x:c r="M305" s="28" t="n">
        <x:v>15</x:v>
      </x:c>
      <x:c r="N305" s="28" t="n">
        <x:v>10</x:v>
      </x:c>
      <x:c r="O305" s="28" t="n">
        <x:f>M305*N305</x:f>
        <x:v>150</x:v>
      </x:c>
      <x:c r="P305" s="24" t="n">
        <x:v>2.02</x:v>
      </x:c>
      <x:c r="Q305" s="26" t="n">
        <x:v>0.08880968195486286</x:v>
      </x:c>
      <x:c r="R305" s="24" t="n">
        <x:f>O305*P305*Q305</x:f>
        <x:v>26.909333632323445</x:v>
      </x:c>
      <x:c r="S305" s="24" t="n">
        <x:f>P305*(1-Q305)</x:f>
        <x:v>1.8406044424511772</x:v>
      </x:c>
      <x:c r="T305" s="24" t="n">
        <x:f>O305*S305</x:f>
        <x:v>276.0906663676766</x:v>
      </x:c>
      <x:c r="U305" t="str">
        <x:v>CENTRO</x:v>
      </x:c>
      <x:c r="V305" t="str">
        <x:v>Farmacia Centro Histórico</x:v>
      </x:c>
      <x:c r="W305" t="str">
        <x:v>Zona Centro</x:v>
      </x:c>
      <x:c r="X305" t="str">
        <x:v>Quito</x:v>
      </x:c>
      <x:c r="Y305" s="32" t="str">
        <x:v>Guayaquil y Chile</x:v>
      </x:c>
      <x:c r="Z305" s="22" t="n">
        <x:v>46137</x:v>
      </x:c>
      <x:c r="AA305" t="str">
        <x:v>Recibido</x:v>
      </x:c>
      <x:c r="AB305" t="str">
        <x:v>15 días crédito</x:v>
      </x:c>
      <x:c r="AC305" s="32" t="str">
        <x:v>Entrega coordinada fuera de horario regular</x:v>
      </x:c>
    </x:row>
    <x:row r="306">
      <x:c r="A306" t="n">
        <x:v>305</x:v>
      </x:c>
      <x:c r="B306" s="22" t="n">
        <x:v>46237</x:v>
      </x:c>
      <x:c r="C306" t="str">
        <x:v>OC-2026-0305</x:v>
      </x:c>
      <x:c r="D306" t="str">
        <x:v>F-D005-202608-8400</x:v>
      </x:c>
      <x:c r="E306" t="str">
        <x:v>L2608-012-0305</x:v>
      </x:c>
      <x:c r="F306" t="str">
        <x:v>D005</x:v>
      </x:c>
      <x:c r="G306" s="32" t="str">
        <x:v>PharmaExpress Quito</x:v>
      </x:c>
      <x:c r="H306" t="str">
        <x:v>MED012</x:v>
      </x:c>
      <x:c r="I306" s="32" t="str">
        <x:v>Multivitamínico adulto</x:v>
      </x:c>
      <x:c r="J306" s="32" t="str">
        <x:v>Vitaminas</x:v>
      </x:c>
      <x:c r="K306" s="32" t="str">
        <x:v>Novartis</x:v>
      </x:c>
      <x:c r="L306" s="32" t="str">
        <x:v>Frasco x 30 tabletas</x:v>
      </x:c>
      <x:c r="M306" s="28" t="n">
        <x:v>2</x:v>
      </x:c>
      <x:c r="N306" s="28" t="n">
        <x:v>50</x:v>
      </x:c>
      <x:c r="O306" s="28" t="n">
        <x:f>M306*N306</x:f>
        <x:v>100</x:v>
      </x:c>
      <x:c r="P306" s="24" t="n">
        <x:v>3.96</x:v>
      </x:c>
      <x:c r="Q306" s="26" t="n">
        <x:v>0.06603592722632082</x:v>
      </x:c>
      <x:c r="R306" s="24" t="n">
        <x:f>O306*P306*Q306</x:f>
        <x:v>26.150227181623045</x:v>
      </x:c>
      <x:c r="S306" s="24" t="n">
        <x:f>P306*(1-Q306)</x:f>
        <x:v>3.6984977281837694</x:v>
      </x:c>
      <x:c r="T306" s="24" t="n">
        <x:f>O306*S306</x:f>
        <x:v>369.84977281837695</x:v>
      </x:c>
      <x:c r="U306" t="str">
        <x:v>NORTE</x:v>
      </x:c>
      <x:c r="V306" t="str">
        <x:v>Farmacia Norte</x:v>
      </x:c>
      <x:c r="W306" t="str">
        <x:v>Zona Norte</x:v>
      </x:c>
      <x:c r="X306" t="str">
        <x:v>Quito</x:v>
      </x:c>
      <x:c r="Y306" s="32" t="str">
        <x:v>Av. 10 de Agosto N45-20</x:v>
      </x:c>
      <x:c r="Z306" s="22" t="n">
        <x:v>46240</x:v>
      </x:c>
      <x:c r="AA306" t="str">
        <x:v>Recibido</x:v>
      </x:c>
      <x:c r="AB306" t="str">
        <x:v>30 días crédito</x:v>
      </x:c>
      <x:c r="AC306" s="32" t="str"/>
    </x:row>
    <x:row r="307">
      <x:c r="A307" t="n">
        <x:v>306</x:v>
      </x:c>
      <x:c r="B307" s="22" t="n">
        <x:v>46213</x:v>
      </x:c>
      <x:c r="C307" t="str">
        <x:v>OC-2026-0306</x:v>
      </x:c>
      <x:c r="D307" t="str">
        <x:v>F-D005-202607-7660</x:v>
      </x:c>
      <x:c r="E307" t="str">
        <x:v>L2607-004-0306</x:v>
      </x:c>
      <x:c r="F307" t="str">
        <x:v>D005</x:v>
      </x:c>
      <x:c r="G307" s="32" t="str">
        <x:v>PharmaExpress Quito</x:v>
      </x:c>
      <x:c r="H307" t="str">
        <x:v>MED004</x:v>
      </x:c>
      <x:c r="I307" s="32" t="str">
        <x:v>Azitromicina 500 mg</x:v>
      </x:c>
      <x:c r="J307" s="32" t="str">
        <x:v>Antibióticos</x:v>
      </x:c>
      <x:c r="K307" s="32" t="str">
        <x:v>Pfizer</x:v>
      </x:c>
      <x:c r="L307" s="32" t="str">
        <x:v>Caja x 3 tabletas</x:v>
      </x:c>
      <x:c r="M307" s="28" t="n">
        <x:v>10</x:v>
      </x:c>
      <x:c r="N307" s="28" t="n">
        <x:v>50</x:v>
      </x:c>
      <x:c r="O307" s="28" t="n">
        <x:f>M307*N307</x:f>
        <x:v>500</x:v>
      </x:c>
      <x:c r="P307" s="24" t="n">
        <x:v>5.2</x:v>
      </x:c>
      <x:c r="Q307" s="26" t="n">
        <x:v>0.10470959853978579</x:v>
      </x:c>
      <x:c r="R307" s="24" t="n">
        <x:f>O307*P307*Q307</x:f>
        <x:v>272.24495620344305</x:v>
      </x:c>
      <x:c r="S307" s="24" t="n">
        <x:f>P307*(1-Q307)</x:f>
        <x:v>4.655510087593114</x:v>
      </x:c>
      <x:c r="T307" s="24" t="n">
        <x:f>O307*S307</x:f>
        <x:v>2327.755043796557</x:v>
      </x:c>
      <x:c r="U307" t="str">
        <x:v>SUR</x:v>
      </x:c>
      <x:c r="V307" t="str">
        <x:v>Farmacia del Sur</x:v>
      </x:c>
      <x:c r="W307" t="str">
        <x:v>Zona Sur</x:v>
      </x:c>
      <x:c r="X307" t="str">
        <x:v>Quito</x:v>
      </x:c>
      <x:c r="Y307" s="32" t="str">
        <x:v>Av. Maldonado S25-10</x:v>
      </x:c>
      <x:c r="Z307" s="22" t="n">
        <x:v>46218</x:v>
      </x:c>
      <x:c r="AA307" t="str">
        <x:v>Recibido</x:v>
      </x:c>
      <x:c r="AB307" t="str">
        <x:v>30 días crédito</x:v>
      </x:c>
      <x:c r="AC307" s="32" t="str"/>
    </x:row>
    <x:row r="308">
      <x:c r="A308" t="n">
        <x:v>307</x:v>
      </x:c>
      <x:c r="B308" s="22" t="n">
        <x:v>46204</x:v>
      </x:c>
      <x:c r="C308" t="str">
        <x:v>OC-2026-0307</x:v>
      </x:c>
      <x:c r="D308" t="str">
        <x:v>F-D008-202607-7712</x:v>
      </x:c>
      <x:c r="E308" t="str">
        <x:v>L2607-005-0307</x:v>
      </x:c>
      <x:c r="F308" t="str">
        <x:v>D008</x:v>
      </x:c>
      <x:c r="G308" s="32" t="str">
        <x:v>Mayorista MedicPlus</x:v>
      </x:c>
      <x:c r="H308" t="str">
        <x:v>MED005</x:v>
      </x:c>
      <x:c r="I308" s="32" t="str">
        <x:v>Loratadina 10 mg</x:v>
      </x:c>
      <x:c r="J308" s="32" t="str">
        <x:v>Antigripales</x:v>
      </x:c>
      <x:c r="K308" s="32" t="str">
        <x:v>Genfar</x:v>
      </x:c>
      <x:c r="L308" s="32" t="str">
        <x:v>Caja x 10 tabletas</x:v>
      </x:c>
      <x:c r="M308" s="28" t="n">
        <x:v>30</x:v>
      </x:c>
      <x:c r="N308" s="28" t="n">
        <x:v>24</x:v>
      </x:c>
      <x:c r="O308" s="28" t="n">
        <x:f>M308*N308</x:f>
        <x:v>720</x:v>
      </x:c>
      <x:c r="P308" s="24" t="n">
        <x:v>0.96</x:v>
      </x:c>
      <x:c r="Q308" s="26" t="n">
        <x:v>0.11847141077300442</x:v>
      </x:c>
      <x:c r="R308" s="24" t="n">
        <x:f>O308*P308*Q308</x:f>
        <x:v>81.88743912630065</x:v>
      </x:c>
      <x:c r="S308" s="24" t="n">
        <x:f>P308*(1-Q308)</x:f>
        <x:v>0.8462674456579158</x:v>
      </x:c>
      <x:c r="T308" s="24" t="n">
        <x:f>O308*S308</x:f>
        <x:v>609.3125608736993</x:v>
      </x:c>
      <x:c r="U308" t="str">
        <x:v>SUR</x:v>
      </x:c>
      <x:c r="V308" t="str">
        <x:v>Farmacia del Sur</x:v>
      </x:c>
      <x:c r="W308" t="str">
        <x:v>Zona Sur</x:v>
      </x:c>
      <x:c r="X308" t="str">
        <x:v>Quito</x:v>
      </x:c>
      <x:c r="Y308" s="32" t="str">
        <x:v>Av. Maldonado S25-10</x:v>
      </x:c>
      <x:c r="Z308" s="22" t="n">
        <x:v>46209</x:v>
      </x:c>
      <x:c r="AA308" t="str">
        <x:v>Recibido</x:v>
      </x:c>
      <x:c r="AB308" t="str">
        <x:v>30 días crédito</x:v>
      </x:c>
      <x:c r="AC308" s="32" t="str"/>
    </x:row>
    <x:row r="309">
      <x:c r="A309" t="n">
        <x:v>308</x:v>
      </x:c>
      <x:c r="B309" s="22" t="n">
        <x:v>45718</x:v>
      </x:c>
      <x:c r="C309" t="str">
        <x:v>OC-2025-0308</x:v>
      </x:c>
      <x:c r="D309" t="str">
        <x:v>F-D001-202503-3258</x:v>
      </x:c>
      <x:c r="E309" t="str">
        <x:v>L2503-011-0308</x:v>
      </x:c>
      <x:c r="F309" t="str">
        <x:v>D001</x:v>
      </x:c>
      <x:c r="G309" s="32" t="str">
        <x:v>DistriFarma Andina S.A.</x:v>
      </x:c>
      <x:c r="H309" t="str">
        <x:v>MED011</x:v>
      </x:c>
      <x:c r="I309" s="32" t="str">
        <x:v>Jarabe antigripal</x:v>
      </x:c>
      <x:c r="J309" s="32" t="str">
        <x:v>Antigripales</x:v>
      </x:c>
      <x:c r="K309" s="32" t="str">
        <x:v>MEDICAMENTA</x:v>
      </x:c>
      <x:c r="L309" s="32" t="str">
        <x:v>Frasco 120 ml</x:v>
      </x:c>
      <x:c r="M309" s="28" t="n">
        <x:v>4</x:v>
      </x:c>
      <x:c r="N309" s="28" t="n">
        <x:v>30</x:v>
      </x:c>
      <x:c r="O309" s="28" t="n">
        <x:f>M309*N309</x:f>
        <x:v>120</x:v>
      </x:c>
      <x:c r="P309" s="24" t="n">
        <x:v>2.57</x:v>
      </x:c>
      <x:c r="Q309" s="26" t="n">
        <x:v>0.1039845027859999</x:v>
      </x:c>
      <x:c r="R309" s="24" t="n">
        <x:f>O309*P309*Q309</x:f>
        <x:v>32.068820659202366</x:v>
      </x:c>
      <x:c r="S309" s="24" t="n">
        <x:f>P309*(1-Q309)</x:f>
        <x:v>2.30275982783998</x:v>
      </x:c>
      <x:c r="T309" s="24" t="n">
        <x:f>O309*S309</x:f>
        <x:v>276.33117934079763</x:v>
      </x:c>
      <x:c r="U309" t="str">
        <x:v>CENTRO</x:v>
      </x:c>
      <x:c r="V309" t="str">
        <x:v>Farmacia Centro Histórico</x:v>
      </x:c>
      <x:c r="W309" t="str">
        <x:v>Zona Centro</x:v>
      </x:c>
      <x:c r="X309" t="str">
        <x:v>Quito</x:v>
      </x:c>
      <x:c r="Y309" s="32" t="str">
        <x:v>Guayaquil y Chile</x:v>
      </x:c>
      <x:c r="Z309" s="22" t="n">
        <x:v>45723</x:v>
      </x:c>
      <x:c r="AA309" t="str">
        <x:v>Recibido</x:v>
      </x:c>
      <x:c r="AB309" t="str">
        <x:v>30 días crédito</x:v>
      </x:c>
      <x:c r="AC309" s="32" t="str"/>
    </x:row>
    <x:row r="310">
      <x:c r="A310" t="n">
        <x:v>309</x:v>
      </x:c>
      <x:c r="B310" s="22" t="n">
        <x:v>46148</x:v>
      </x:c>
      <x:c r="C310" t="str">
        <x:v>OC-2026-0309</x:v>
      </x:c>
      <x:c r="D310" t="str">
        <x:v>F-D008-202605-8827</x:v>
      </x:c>
      <x:c r="E310" t="str">
        <x:v>L2605-007-0309</x:v>
      </x:c>
      <x:c r="F310" t="str">
        <x:v>D008</x:v>
      </x:c>
      <x:c r="G310" s="32" t="str">
        <x:v>Mayorista MedicPlus</x:v>
      </x:c>
      <x:c r="H310" t="str">
        <x:v>MED007</x:v>
      </x:c>
      <x:c r="I310" s="32" t="str">
        <x:v>Omeprazol 20 mg</x:v>
      </x:c>
      <x:c r="J310" s="32" t="str">
        <x:v>Gastrointestinales</x:v>
      </x:c>
      <x:c r="K310" s="32" t="str">
        <x:v>La Santé</x:v>
      </x:c>
      <x:c r="L310" s="32" t="str">
        <x:v>Caja x 30 cápsulas</x:v>
      </x:c>
      <x:c r="M310" s="28" t="n">
        <x:v>12</x:v>
      </x:c>
      <x:c r="N310" s="28" t="n">
        <x:v>60</x:v>
      </x:c>
      <x:c r="O310" s="28" t="n">
        <x:f>M310*N310</x:f>
        <x:v>720</x:v>
      </x:c>
      <x:c r="P310" s="24" t="n">
        <x:v>2.69</x:v>
      </x:c>
      <x:c r="Q310" s="26" t="n">
        <x:v>0.08620871094411423</x:v>
      </x:c>
      <x:c r="R310" s="24" t="n">
        <x:f>O310*P310*Q310</x:f>
        <x:v>166.96903135656044</x:v>
      </x:c>
      <x:c r="S310" s="24" t="n">
        <x:f>P310*(1-Q310)</x:f>
        <x:v>2.4580985675603326</x:v>
      </x:c>
      <x:c r="T310" s="24" t="n">
        <x:f>O310*S310</x:f>
        <x:v>1769.8309686434395</x:v>
      </x:c>
      <x:c r="U310" t="str">
        <x:v>SUR</x:v>
      </x:c>
      <x:c r="V310" t="str">
        <x:v>Farmacia del Sur</x:v>
      </x:c>
      <x:c r="W310" t="str">
        <x:v>Zona Sur</x:v>
      </x:c>
      <x:c r="X310" t="str">
        <x:v>Quito</x:v>
      </x:c>
      <x:c r="Y310" s="32" t="str">
        <x:v>Av. Maldonado S25-10</x:v>
      </x:c>
      <x:c r="Z310" s="22" t="n">
        <x:v>46149</x:v>
      </x:c>
      <x:c r="AA310" t="str">
        <x:v>Recibido</x:v>
      </x:c>
      <x:c r="AB310" t="str">
        <x:v>30 días crédito</x:v>
      </x:c>
      <x:c r="AC310" s="32" t="str"/>
    </x:row>
    <x:row r="311">
      <x:c r="A311" t="n">
        <x:v>310</x:v>
      </x:c>
      <x:c r="B311" s="22" t="n">
        <x:v>46252</x:v>
      </x:c>
      <x:c r="C311" t="str">
        <x:v>OC-2026-0310</x:v>
      </x:c>
      <x:c r="D311" t="str">
        <x:v>F-D005-202608-7921</x:v>
      </x:c>
      <x:c r="E311" t="str">
        <x:v>L2608-008-0310</x:v>
      </x:c>
      <x:c r="F311" t="str">
        <x:v>D005</x:v>
      </x:c>
      <x:c r="G311" s="32" t="str">
        <x:v>PharmaExpress Quito</x:v>
      </x:c>
      <x:c r="H311" t="str">
        <x:v>MED008</x:v>
      </x:c>
      <x:c r="I311" s="32" t="str">
        <x:v>Diclofenaco gel</x:v>
      </x:c>
      <x:c r="J311" s="32" t="str">
        <x:v>Dermatológicos</x:v>
      </x:c>
      <x:c r="K311" s="32" t="str">
        <x:v>Bayer</x:v>
      </x:c>
      <x:c r="L311" s="32" t="str">
        <x:v>Tubo 50 g</x:v>
      </x:c>
      <x:c r="M311" s="28" t="n">
        <x:v>3</x:v>
      </x:c>
      <x:c r="N311" s="28" t="n">
        <x:v>60</x:v>
      </x:c>
      <x:c r="O311" s="28" t="n">
        <x:f>M311*N311</x:f>
        <x:v>180</x:v>
      </x:c>
      <x:c r="P311" s="24" t="n">
        <x:v>2.18</x:v>
      </x:c>
      <x:c r="Q311" s="26" t="n">
        <x:v>0.08155500604068706</x:v>
      </x:c>
      <x:c r="R311" s="24" t="n">
        <x:f>O311*P311*Q311</x:f>
        <x:v>32.002184370365605</x:v>
      </x:c>
      <x:c r="S311" s="24" t="n">
        <x:f>P311*(1-Q311)</x:f>
        <x:v>2.0022100868313024</x:v>
      </x:c>
      <x:c r="T311" s="24" t="n">
        <x:f>O311*S311</x:f>
        <x:v>360.3978156296344</x:v>
      </x:c>
      <x:c r="U311" t="str">
        <x:v>NORTE</x:v>
      </x:c>
      <x:c r="V311" t="str">
        <x:v>Farmacia Norte</x:v>
      </x:c>
      <x:c r="W311" t="str">
        <x:v>Zona Norte</x:v>
      </x:c>
      <x:c r="X311" t="str">
        <x:v>Quito</x:v>
      </x:c>
      <x:c r="Y311" s="32" t="str">
        <x:v>Av. 10 de Agosto N45-20</x:v>
      </x:c>
      <x:c r="Z311" s="22" t="n">
        <x:v>46253</x:v>
      </x:c>
      <x:c r="AA311" t="str">
        <x:v>Recibido</x:v>
      </x:c>
      <x:c r="AB311" t="str">
        <x:v>30 días crédito</x:v>
      </x:c>
      <x:c r="AC311" s="32" t="str"/>
    </x:row>
    <x:row r="312">
      <x:c r="A312" t="n">
        <x:v>311</x:v>
      </x:c>
      <x:c r="B312" s="22" t="n">
        <x:v>45920</x:v>
      </x:c>
      <x:c r="C312" t="str">
        <x:v>OC-2025-0311</x:v>
      </x:c>
      <x:c r="D312" t="str">
        <x:v>F-D005-202509-6421</x:v>
      </x:c>
      <x:c r="E312" t="str">
        <x:v>L2509-001-0311</x:v>
      </x:c>
      <x:c r="F312" t="str">
        <x:v>D005</x:v>
      </x:c>
      <x:c r="G312" s="32" t="str">
        <x:v>PharmaExpress Quito</x:v>
      </x:c>
      <x:c r="H312" t="str">
        <x:v>MED001</x:v>
      </x:c>
      <x:c r="I312" s="32" t="str">
        <x:v>Paracetamol 500 mg</x:v>
      </x:c>
      <x:c r="J312" s="32" t="str">
        <x:v>Analgésicos</x:v>
      </x:c>
      <x:c r="K312" s="32" t="str">
        <x:v>Genfar</x:v>
      </x:c>
      <x:c r="L312" s="32" t="str">
        <x:v>Caja x 20 tabletas</x:v>
      </x:c>
      <x:c r="M312" s="28" t="n">
        <x:v>12</x:v>
      </x:c>
      <x:c r="N312" s="28" t="n">
        <x:v>10</x:v>
      </x:c>
      <x:c r="O312" s="28" t="n">
        <x:f>M312*N312</x:f>
        <x:v>120</x:v>
      </x:c>
      <x:c r="P312" s="24" t="n">
        <x:v>0.9</x:v>
      </x:c>
      <x:c r="Q312" s="26" t="n">
        <x:v>0.06990571083585438</x:v>
      </x:c>
      <x:c r="R312" s="24" t="n">
        <x:f>O312*P312*Q312</x:f>
        <x:v>7.549816770272273</x:v>
      </x:c>
      <x:c r="S312" s="24" t="n">
        <x:f>P312*(1-Q312)</x:f>
        <x:v>0.8370848602477311</x:v>
      </x:c>
      <x:c r="T312" s="24" t="n">
        <x:f>O312*S312</x:f>
        <x:v>100.45018322972773</x:v>
      </x:c>
      <x:c r="U312" t="str">
        <x:v>CENTRO</x:v>
      </x:c>
      <x:c r="V312" t="str">
        <x:v>Farmacia Centro Histórico</x:v>
      </x:c>
      <x:c r="W312" t="str">
        <x:v>Zona Centro</x:v>
      </x:c>
      <x:c r="X312" t="str">
        <x:v>Quito</x:v>
      </x:c>
      <x:c r="Y312" s="32" t="str">
        <x:v>Guayaquil y Chile</x:v>
      </x:c>
      <x:c r="Z312" s="22" t="n">
        <x:v>45921</x:v>
      </x:c>
      <x:c r="AA312" t="str">
        <x:v>Recibido</x:v>
      </x:c>
      <x:c r="AB312" t="str">
        <x:v>30 días crédito</x:v>
      </x:c>
      <x:c r="AC312" s="32" t="str">
        <x:v>Entrega coordinada fuera de horario regular</x:v>
      </x:c>
    </x:row>
    <x:row r="313">
      <x:c r="A313" t="n">
        <x:v>312</x:v>
      </x:c>
      <x:c r="B313" s="22" t="n">
        <x:v>46146</x:v>
      </x:c>
      <x:c r="C313" t="str">
        <x:v>OC-2026-0312</x:v>
      </x:c>
      <x:c r="D313" t="str">
        <x:v>F-D007-202605-8054</x:v>
      </x:c>
      <x:c r="E313" t="str">
        <x:v>L2605-011-0312</x:v>
      </x:c>
      <x:c r="F313" t="str">
        <x:v>D007</x:v>
      </x:c>
      <x:c r="G313" s="32" t="str">
        <x:v>Comercializadora BioFarma</x:v>
      </x:c>
      <x:c r="H313" t="str">
        <x:v>MED011</x:v>
      </x:c>
      <x:c r="I313" s="32" t="str">
        <x:v>Jarabe antigripal</x:v>
      </x:c>
      <x:c r="J313" s="32" t="str">
        <x:v>Antigripales</x:v>
      </x:c>
      <x:c r="K313" s="32" t="str">
        <x:v>MEDICAMENTA</x:v>
      </x:c>
      <x:c r="L313" s="32" t="str">
        <x:v>Frasco 120 ml</x:v>
      </x:c>
      <x:c r="M313" s="28" t="n">
        <x:v>10</x:v>
      </x:c>
      <x:c r="N313" s="28" t="n">
        <x:v>30</x:v>
      </x:c>
      <x:c r="O313" s="28" t="n">
        <x:f>M313*N313</x:f>
        <x:v>300</x:v>
      </x:c>
      <x:c r="P313" s="24" t="n">
        <x:v>2.69</x:v>
      </x:c>
      <x:c r="Q313" s="26" t="n">
        <x:v>0.05846732198211123</x:v>
      </x:c>
      <x:c r="R313" s="24" t="n">
        <x:f>O313*P313*Q313</x:f>
        <x:v>47.183128839563764</x:v>
      </x:c>
      <x:c r="S313" s="24" t="n">
        <x:f>P313*(1-Q313)</x:f>
        <x:v>2.5327229038681205</x:v>
      </x:c>
      <x:c r="T313" s="24" t="n">
        <x:f>O313*S313</x:f>
        <x:v>759.8168711604361</x:v>
      </x:c>
      <x:c r="U313" t="str">
        <x:v>NORTE</x:v>
      </x:c>
      <x:c r="V313" t="str">
        <x:v>Farmacia Norte</x:v>
      </x:c>
      <x:c r="W313" t="str">
        <x:v>Zona Norte</x:v>
      </x:c>
      <x:c r="X313" t="str">
        <x:v>Quito</x:v>
      </x:c>
      <x:c r="Y313" s="32" t="str">
        <x:v>Av. 10 de Agosto N45-20</x:v>
      </x:c>
      <x:c r="Z313" s="22" t="n">
        <x:v>46148</x:v>
      </x:c>
      <x:c r="AA313" t="str">
        <x:v>Recibido</x:v>
      </x:c>
      <x:c r="AB313" t="str">
        <x:v>15 días crédito</x:v>
      </x:c>
      <x:c r="AC313" s="32" t="str"/>
    </x:row>
    <x:row r="314">
      <x:c r="A314" t="n">
        <x:v>313</x:v>
      </x:c>
      <x:c r="B314" s="22" t="n">
        <x:v>46204</x:v>
      </x:c>
      <x:c r="C314" t="str">
        <x:v>OC-2026-0313</x:v>
      </x:c>
      <x:c r="D314" t="str">
        <x:v>F-D005-202607-6648</x:v>
      </x:c>
      <x:c r="E314" t="str">
        <x:v>L2607-012-0313</x:v>
      </x:c>
      <x:c r="F314" t="str">
        <x:v>D005</x:v>
      </x:c>
      <x:c r="G314" s="32" t="str">
        <x:v>PharmaExpress Quito</x:v>
      </x:c>
      <x:c r="H314" t="str">
        <x:v>MED012</x:v>
      </x:c>
      <x:c r="I314" s="32" t="str">
        <x:v>Multivitamínico adulto</x:v>
      </x:c>
      <x:c r="J314" s="32" t="str">
        <x:v>Vitaminas</x:v>
      </x:c>
      <x:c r="K314" s="32" t="str">
        <x:v>Novartis</x:v>
      </x:c>
      <x:c r="L314" s="32" t="str">
        <x:v>Frasco x 30 tabletas</x:v>
      </x:c>
      <x:c r="M314" s="28" t="n">
        <x:v>6</x:v>
      </x:c>
      <x:c r="N314" s="28" t="n">
        <x:v>60</x:v>
      </x:c>
      <x:c r="O314" s="28" t="n">
        <x:f>M314*N314</x:f>
        <x:v>360</x:v>
      </x:c>
      <x:c r="P314" s="24" t="n">
        <x:v>4.99</x:v>
      </x:c>
      <x:c r="Q314" s="26" t="n">
        <x:v>0.08900783020707424</x:v>
      </x:c>
      <x:c r="R314" s="24" t="n">
        <x:f>O314*P314*Q314</x:f>
        <x:v>159.8936661839882</x:v>
      </x:c>
      <x:c r="S314" s="24" t="n">
        <x:f>P314*(1-Q314)</x:f>
        <x:v>4.5458509272667</x:v>
      </x:c>
      <x:c r="T314" s="24" t="n">
        <x:f>O314*S314</x:f>
        <x:v>1636.5063338160119</x:v>
      </x:c>
      <x:c r="U314" t="str">
        <x:v>VALLE</x:v>
      </x:c>
      <x:c r="V314" t="str">
        <x:v>Farmacia Valle de los Chillos</x:v>
      </x:c>
      <x:c r="W314" t="str">
        <x:v>Zona Valle</x:v>
      </x:c>
      <x:c r="X314" t="str">
        <x:v>Sangolquí</x:v>
      </x:c>
      <x:c r="Y314" s="32" t="str">
        <x:v>Av. Calderón 101</x:v>
      </x:c>
      <x:c r="Z314" s="22" t="n">
        <x:v>46205</x:v>
      </x:c>
      <x:c r="AA314" t="str">
        <x:v>Recibido</x:v>
      </x:c>
      <x:c r="AB314" t="str">
        <x:v>30 días crédito</x:v>
      </x:c>
      <x:c r="AC314" s="32" t="str"/>
    </x:row>
    <x:row r="315">
      <x:c r="A315" t="n">
        <x:v>314</x:v>
      </x:c>
      <x:c r="B315" s="22" t="n">
        <x:v>46363</x:v>
      </x:c>
      <x:c r="C315" t="str">
        <x:v>OC-2026-0314</x:v>
      </x:c>
      <x:c r="D315" t="str">
        <x:v>F-D003-202612-6686</x:v>
      </x:c>
      <x:c r="E315" t="str">
        <x:v>L2612-002-0314</x:v>
      </x:c>
      <x:c r="F315" t="str">
        <x:v>D003</x:v>
      </x:c>
      <x:c r="G315" s="32" t="str">
        <x:v>FarmaLogística Sierra</x:v>
      </x:c>
      <x:c r="H315" t="str">
        <x:v>MED002</x:v>
      </x:c>
      <x:c r="I315" s="32" t="str">
        <x:v>Ibuprofeno 400 mg</x:v>
      </x:c>
      <x:c r="J315" s="32" t="str">
        <x:v>Analgésicos</x:v>
      </x:c>
      <x:c r="K315" s="32" t="str">
        <x:v>La Santé</x:v>
      </x:c>
      <x:c r="L315" s="32" t="str">
        <x:v>Caja x 20 tabletas</x:v>
      </x:c>
      <x:c r="M315" s="28" t="n">
        <x:v>4</x:v>
      </x:c>
      <x:c r="N315" s="28" t="n">
        <x:v>60</x:v>
      </x:c>
      <x:c r="O315" s="28" t="n">
        <x:f>M315*N315</x:f>
        <x:v>240</x:v>
      </x:c>
      <x:c r="P315" s="24" t="n">
        <x:v>1.35</x:v>
      </x:c>
      <x:c r="Q315" s="26" t="n">
        <x:v>0.01808545644414398</x:v>
      </x:c>
      <x:c r="R315" s="24" t="n">
        <x:f>O315*P315*Q315</x:f>
        <x:v>5.859687887902649</x:v>
      </x:c>
      <x:c r="S315" s="24" t="n">
        <x:f>P315*(1-Q315)</x:f>
        <x:v>1.3255846338004058</x:v>
      </x:c>
      <x:c r="T315" s="24" t="n">
        <x:f>O315*S315</x:f>
        <x:v>318.1403121120974</x:v>
      </x:c>
      <x:c r="U315" t="str">
        <x:v>NORTE</x:v>
      </x:c>
      <x:c r="V315" t="str">
        <x:v>Farmacia Norte</x:v>
      </x:c>
      <x:c r="W315" t="str">
        <x:v>Zona Norte</x:v>
      </x:c>
      <x:c r="X315" t="str">
        <x:v>Quito</x:v>
      </x:c>
      <x:c r="Y315" s="32" t="str">
        <x:v>Av. 10 de Agosto N45-20</x:v>
      </x:c>
      <x:c r="Z315" s="22" t="n">
        <x:v>46364</x:v>
      </x:c>
      <x:c r="AA315" t="str">
        <x:v>Recibido</x:v>
      </x:c>
      <x:c r="AB315" t="str">
        <x:v>Contado contra entrega</x:v>
      </x:c>
      <x:c r="AC315" s="32" t="str"/>
    </x:row>
    <x:row r="316">
      <x:c r="A316" t="n">
        <x:v>315</x:v>
      </x:c>
      <x:c r="B316" s="22" t="n">
        <x:v>45906</x:v>
      </x:c>
      <x:c r="C316" t="str">
        <x:v>OC-2025-0315</x:v>
      </x:c>
      <x:c r="D316" t="str">
        <x:v>F-D005-202509-1124</x:v>
      </x:c>
      <x:c r="E316" t="str">
        <x:v>L2509-006-0315</x:v>
      </x:c>
      <x:c r="F316" t="str">
        <x:v>D005</x:v>
      </x:c>
      <x:c r="G316" s="32" t="str">
        <x:v>PharmaExpress Quito</x:v>
      </x:c>
      <x:c r="H316" t="str">
        <x:v>MED006</x:v>
      </x:c>
      <x:c r="I316" s="32" t="str">
        <x:v>Vitamina C 1 g</x:v>
      </x:c>
      <x:c r="J316" s="32" t="str">
        <x:v>Vitaminas</x:v>
      </x:c>
      <x:c r="K316" s="32" t="str">
        <x:v>Novartis</x:v>
      </x:c>
      <x:c r="L316" s="32" t="str">
        <x:v>Tubo x 10 efervescentes</x:v>
      </x:c>
      <x:c r="M316" s="28" t="n">
        <x:v>2</x:v>
      </x:c>
      <x:c r="N316" s="28" t="n">
        <x:v>50</x:v>
      </x:c>
      <x:c r="O316" s="28" t="n">
        <x:f>M316*N316</x:f>
        <x:v>100</x:v>
      </x:c>
      <x:c r="P316" s="24" t="n">
        <x:v>2.52</x:v>
      </x:c>
      <x:c r="Q316" s="26" t="n">
        <x:v>0.05967555592058039</x:v>
      </x:c>
      <x:c r="R316" s="24" t="n">
        <x:f>O316*P316*Q316</x:f>
        <x:v>15.038240091986257</x:v>
      </x:c>
      <x:c r="S316" s="24" t="n">
        <x:f>P316*(1-Q316)</x:f>
        <x:v>2.3696175990801374</x:v>
      </x:c>
      <x:c r="T316" s="24" t="n">
        <x:f>O316*S316</x:f>
        <x:v>236.96175990801373</x:v>
      </x:c>
      <x:c r="U316" t="str">
        <x:v>NORTE</x:v>
      </x:c>
      <x:c r="V316" t="str">
        <x:v>Farmacia Norte</x:v>
      </x:c>
      <x:c r="W316" t="str">
        <x:v>Zona Norte</x:v>
      </x:c>
      <x:c r="X316" t="str">
        <x:v>Quito</x:v>
      </x:c>
      <x:c r="Y316" s="32" t="str">
        <x:v>Av. 10 de Agosto N45-20</x:v>
      </x:c>
      <x:c r="Z316" s="22" t="n">
        <x:v>45909</x:v>
      </x:c>
      <x:c r="AA316" t="str">
        <x:v>Recibido</x:v>
      </x:c>
      <x:c r="AB316" t="str">
        <x:v>30 días crédito</x:v>
      </x:c>
      <x:c r="AC316" s="32" t="str"/>
    </x:row>
    <x:row r="317">
      <x:c r="A317" t="n">
        <x:v>316</x:v>
      </x:c>
      <x:c r="B317" s="22" t="n">
        <x:v>46224</x:v>
      </x:c>
      <x:c r="C317" t="str">
        <x:v>OC-2026-0316</x:v>
      </x:c>
      <x:c r="D317" t="str">
        <x:v>F-D008-202607-7547</x:v>
      </x:c>
      <x:c r="E317" t="str">
        <x:v>L2607-001-0316</x:v>
      </x:c>
      <x:c r="F317" t="str">
        <x:v>D008</x:v>
      </x:c>
      <x:c r="G317" s="32" t="str">
        <x:v>Mayorista MedicPlus</x:v>
      </x:c>
      <x:c r="H317" t="str">
        <x:v>MED001</x:v>
      </x:c>
      <x:c r="I317" s="32" t="str">
        <x:v>Paracetamol 500 mg</x:v>
      </x:c>
      <x:c r="J317" s="32" t="str">
        <x:v>Analgésicos</x:v>
      </x:c>
      <x:c r="K317" s="32" t="str">
        <x:v>Genfar</x:v>
      </x:c>
      <x:c r="L317" s="32" t="str">
        <x:v>Caja x 20 tabletas</x:v>
      </x:c>
      <x:c r="M317" s="28" t="n">
        <x:v>3</x:v>
      </x:c>
      <x:c r="N317" s="28" t="n">
        <x:v>50</x:v>
      </x:c>
      <x:c r="O317" s="28" t="n">
        <x:f>M317*N317</x:f>
        <x:v>150</x:v>
      </x:c>
      <x:c r="P317" s="24" t="n">
        <x:v>0.94</x:v>
      </x:c>
      <x:c r="Q317" s="26" t="n">
        <x:v>0.07246577998304168</x:v>
      </x:c>
      <x:c r="R317" s="24" t="n">
        <x:f>O317*P317*Q317</x:f>
        <x:v>10.217674977608878</x:v>
      </x:c>
      <x:c r="S317" s="24" t="n">
        <x:f>P317*(1-Q317)</x:f>
        <x:v>0.8718821668159408</x:v>
      </x:c>
      <x:c r="T317" s="24" t="n">
        <x:f>O317*S317</x:f>
        <x:v>130.78232502239112</x:v>
      </x:c>
      <x:c r="U317" t="str">
        <x:v>NORTE</x:v>
      </x:c>
      <x:c r="V317" t="str">
        <x:v>Farmacia Norte</x:v>
      </x:c>
      <x:c r="W317" t="str">
        <x:v>Zona Norte</x:v>
      </x:c>
      <x:c r="X317" t="str">
        <x:v>Quito</x:v>
      </x:c>
      <x:c r="Y317" s="32" t="str">
        <x:v>Av. 10 de Agosto N45-20</x:v>
      </x:c>
      <x:c r="Z317" s="22" t="n">
        <x:v>46226</x:v>
      </x:c>
      <x:c r="AA317" t="str">
        <x:v>Recibido</x:v>
      </x:c>
      <x:c r="AB317" t="str">
        <x:v>30 días crédito</x:v>
      </x:c>
      <x:c r="AC317" s="32" t="str"/>
    </x:row>
    <x:row r="318">
      <x:c r="A318" t="n">
        <x:v>317</x:v>
      </x:c>
      <x:c r="B318" s="22" t="n">
        <x:v>46276</x:v>
      </x:c>
      <x:c r="C318" t="str">
        <x:v>OC-2026-0317</x:v>
      </x:c>
      <x:c r="D318" t="str">
        <x:v>F-D008-202609-8859</x:v>
      </x:c>
      <x:c r="E318" t="str">
        <x:v>L2609-005-0317</x:v>
      </x:c>
      <x:c r="F318" t="str">
        <x:v>D008</x:v>
      </x:c>
      <x:c r="G318" s="32" t="str">
        <x:v>Mayorista MedicPlus</x:v>
      </x:c>
      <x:c r="H318" t="str">
        <x:v>MED005</x:v>
      </x:c>
      <x:c r="I318" s="32" t="str">
        <x:v>Loratadina 10 mg</x:v>
      </x:c>
      <x:c r="J318" s="32" t="str">
        <x:v>Antigripales</x:v>
      </x:c>
      <x:c r="K318" s="32" t="str">
        <x:v>Genfar</x:v>
      </x:c>
      <x:c r="L318" s="32" t="str">
        <x:v>Caja x 10 tabletas</x:v>
      </x:c>
      <x:c r="M318" s="28" t="n">
        <x:v>18</x:v>
      </x:c>
      <x:c r="N318" s="28" t="n">
        <x:v>20</x:v>
      </x:c>
      <x:c r="O318" s="28" t="n">
        <x:f>M318*N318</x:f>
        <x:v>360</x:v>
      </x:c>
      <x:c r="P318" s="24" t="n">
        <x:v>1.02</x:v>
      </x:c>
      <x:c r="Q318" s="26" t="n">
        <x:v>0.09379989296381058</x:v>
      </x:c>
      <x:c r="R318" s="24" t="n">
        <x:f>O318*P318*Q318</x:f>
        <x:v>34.44332069631125</x:v>
      </x:c>
      <x:c r="S318" s="24" t="n">
        <x:f>P318*(1-Q318)</x:f>
        <x:v>0.9243241091769132</x:v>
      </x:c>
      <x:c r="T318" s="24" t="n">
        <x:f>O318*S318</x:f>
        <x:v>332.75667930368877</x:v>
      </x:c>
      <x:c r="U318" t="str">
        <x:v>SUR</x:v>
      </x:c>
      <x:c r="V318" t="str">
        <x:v>Farmacia del Sur</x:v>
      </x:c>
      <x:c r="W318" t="str">
        <x:v>Zona Sur</x:v>
      </x:c>
      <x:c r="X318" t="str">
        <x:v>Quito</x:v>
      </x:c>
      <x:c r="Y318" s="32" t="str">
        <x:v>Av. Maldonado S25-10</x:v>
      </x:c>
      <x:c r="Z318" s="22" t="n">
        <x:v>46278</x:v>
      </x:c>
      <x:c r="AA318" t="str">
        <x:v>Recibido</x:v>
      </x:c>
      <x:c r="AB318" t="str">
        <x:v>30 días crédito</x:v>
      </x:c>
      <x:c r="AC318" s="32" t="str">
        <x:v>Entrega coordinada fuera de horario regular</x:v>
      </x:c>
    </x:row>
    <x:row r="319">
      <x:c r="A319" t="n">
        <x:v>318</x:v>
      </x:c>
      <x:c r="B319" s="22" t="n">
        <x:v>45955</x:v>
      </x:c>
      <x:c r="C319" t="str">
        <x:v>OC-2025-0318</x:v>
      </x:c>
      <x:c r="D319" t="str">
        <x:v>F-D001-202510-6925</x:v>
      </x:c>
      <x:c r="E319" t="str">
        <x:v>L2510-011-0318</x:v>
      </x:c>
      <x:c r="F319" t="str">
        <x:v>D001</x:v>
      </x:c>
      <x:c r="G319" s="32" t="str">
        <x:v>DistriFarma Andina S.A.</x:v>
      </x:c>
      <x:c r="H319" t="str">
        <x:v>MED011</x:v>
      </x:c>
      <x:c r="I319" s="32" t="str">
        <x:v>Jarabe antigripal</x:v>
      </x:c>
      <x:c r="J319" s="32" t="str">
        <x:v>Antigripales</x:v>
      </x:c>
      <x:c r="K319" s="32" t="str">
        <x:v>MEDICAMENTA</x:v>
      </x:c>
      <x:c r="L319" s="32" t="str">
        <x:v>Frasco 120 ml</x:v>
      </x:c>
      <x:c r="M319" s="28" t="n">
        <x:v>8</x:v>
      </x:c>
      <x:c r="N319" s="28" t="n">
        <x:v>20</x:v>
      </x:c>
      <x:c r="O319" s="28" t="n">
        <x:f>M319*N319</x:f>
        <x:v>160</x:v>
      </x:c>
      <x:c r="P319" s="24" t="n">
        <x:v>2.86</x:v>
      </x:c>
      <x:c r="Q319" s="26" t="n">
        <x:v>0.09861758232811695</x:v>
      </x:c>
      <x:c r="R319" s="24" t="n">
        <x:f>O319*P319*Q319</x:f>
        <x:v>45.12740567334631</x:v>
      </x:c>
      <x:c r="S319" s="24" t="n">
        <x:f>P319*(1-Q319)</x:f>
        <x:v>2.5779537145415854</x:v>
      </x:c>
      <x:c r="T319" s="24" t="n">
        <x:f>O319*S319</x:f>
        <x:v>412.4725943266537</x:v>
      </x:c>
      <x:c r="U319" t="str">
        <x:v>SUR</x:v>
      </x:c>
      <x:c r="V319" t="str">
        <x:v>Farmacia del Sur</x:v>
      </x:c>
      <x:c r="W319" t="str">
        <x:v>Zona Sur</x:v>
      </x:c>
      <x:c r="X319" t="str">
        <x:v>Quito</x:v>
      </x:c>
      <x:c r="Y319" s="32" t="str">
        <x:v>Av. Maldonado S25-10</x:v>
      </x:c>
      <x:c r="Z319" s="22" t="n">
        <x:v>45958</x:v>
      </x:c>
      <x:c r="AA319" t="str">
        <x:v>Recibido</x:v>
      </x:c>
      <x:c r="AB319" t="str">
        <x:v>30 días crédito</x:v>
      </x:c>
      <x:c r="AC319" s="32" t="str"/>
    </x:row>
    <x:row r="320">
      <x:c r="A320" t="n">
        <x:v>319</x:v>
      </x:c>
      <x:c r="B320" s="22" t="n">
        <x:v>45922</x:v>
      </x:c>
      <x:c r="C320" t="str">
        <x:v>OC-2025-0319</x:v>
      </x:c>
      <x:c r="D320" t="str">
        <x:v>F-D001-202509-6760</x:v>
      </x:c>
      <x:c r="E320" t="str">
        <x:v>L2509-002-0319</x:v>
      </x:c>
      <x:c r="F320" t="str">
        <x:v>D001</x:v>
      </x:c>
      <x:c r="G320" s="32" t="str">
        <x:v>DistriFarma Andina S.A.</x:v>
      </x:c>
      <x:c r="H320" t="str">
        <x:v>MED002</x:v>
      </x:c>
      <x:c r="I320" s="32" t="str">
        <x:v>Ibuprofeno 400 mg</x:v>
      </x:c>
      <x:c r="J320" s="32" t="str">
        <x:v>Analgésicos</x:v>
      </x:c>
      <x:c r="K320" s="32" t="str">
        <x:v>La Santé</x:v>
      </x:c>
      <x:c r="L320" s="32" t="str">
        <x:v>Caja x 20 tabletas</x:v>
      </x:c>
      <x:c r="M320" s="28" t="n">
        <x:v>3</x:v>
      </x:c>
      <x:c r="N320" s="28" t="n">
        <x:v>50</x:v>
      </x:c>
      <x:c r="O320" s="28" t="n">
        <x:f>M320*N320</x:f>
        <x:v>150</x:v>
      </x:c>
      <x:c r="P320" s="24" t="n">
        <x:v>1.25</x:v>
      </x:c>
      <x:c r="Q320" s="26" t="n">
        <x:v>0.061268260314132086</x:v>
      </x:c>
      <x:c r="R320" s="24" t="n">
        <x:f>O320*P320*Q320</x:f>
        <x:v>11.487798808899766</x:v>
      </x:c>
      <x:c r="S320" s="24" t="n">
        <x:f>P320*(1-Q320)</x:f>
        <x:v>1.1734146746073348</x:v>
      </x:c>
      <x:c r="T320" s="24" t="n">
        <x:f>O320*S320</x:f>
        <x:v>176.01220119110022</x:v>
      </x:c>
      <x:c r="U320" t="str">
        <x:v>SUR</x:v>
      </x:c>
      <x:c r="V320" t="str">
        <x:v>Farmacia del Sur</x:v>
      </x:c>
      <x:c r="W320" t="str">
        <x:v>Zona Sur</x:v>
      </x:c>
      <x:c r="X320" t="str">
        <x:v>Quito</x:v>
      </x:c>
      <x:c r="Y320" s="32" t="str">
        <x:v>Av. Maldonado S25-10</x:v>
      </x:c>
      <x:c r="Z320" s="22" t="n">
        <x:v>45925</x:v>
      </x:c>
      <x:c r="AA320" t="str">
        <x:v>Recibido</x:v>
      </x:c>
      <x:c r="AB320" t="str">
        <x:v>30 días crédito</x:v>
      </x:c>
      <x:c r="AC320" s="32" t="str"/>
    </x:row>
    <x:row r="321">
      <x:c r="A321" t="n">
        <x:v>320</x:v>
      </x:c>
      <x:c r="B321" s="22" t="n">
        <x:v>45934</x:v>
      </x:c>
      <x:c r="C321" t="str">
        <x:v>OC-2025-0320</x:v>
      </x:c>
      <x:c r="D321" t="str">
        <x:v>F-D004-202510-5087</x:v>
      </x:c>
      <x:c r="E321" t="str">
        <x:v>L2510-015-0320</x:v>
      </x:c>
      <x:c r="F321" t="str">
        <x:v>D004</x:v>
      </x:c>
      <x:c r="G321" s="32" t="str">
        <x:v>Distribuidora Salud Total</x:v>
      </x:c>
      <x:c r="H321" t="str">
        <x:v>MED015</x:v>
      </x:c>
      <x:c r="I321" s="32" t="str">
        <x:v>Producto descontinuado</x:v>
      </x:c>
      <x:c r="J321" s="32" t="str">
        <x:v>Vitaminas</x:v>
      </x:c>
      <x:c r="K321" s="32" t="str">
        <x:v>MEDICAMENTA</x:v>
      </x:c>
      <x:c r="L321" s="32" t="str">
        <x:v>Caja x 20</x:v>
      </x:c>
      <x:c r="M321" s="28" t="n">
        <x:v>1</x:v>
      </x:c>
      <x:c r="N321" s="28" t="n">
        <x:v>24</x:v>
      </x:c>
      <x:c r="O321" s="28" t="n">
        <x:f>M321*N321</x:f>
        <x:v>24</x:v>
      </x:c>
      <x:c r="P321" s="24" t="n">
        <x:v>6.23</x:v>
      </x:c>
      <x:c r="Q321" s="26" t="n">
        <x:v>0.1091082441642432</x:v>
      </x:c>
      <x:c r="R321" s="24" t="n">
        <x:f>O321*P321*Q321</x:f>
        <x:v>16.313864667437645</x:v>
      </x:c>
      <x:c r="S321" s="24" t="n">
        <x:f>P321*(1-Q321)</x:f>
        <x:v>5.550255638856765</x:v>
      </x:c>
      <x:c r="T321" s="24" t="n">
        <x:f>O321*S321</x:f>
        <x:v>133.20613533256235</x:v>
      </x:c>
      <x:c r="U321" t="str">
        <x:v>NORTE</x:v>
      </x:c>
      <x:c r="V321" t="str">
        <x:v>Farmacia Norte</x:v>
      </x:c>
      <x:c r="W321" t="str">
        <x:v>Zona Norte</x:v>
      </x:c>
      <x:c r="X321" t="str">
        <x:v>Quito</x:v>
      </x:c>
      <x:c r="Y321" s="32" t="str">
        <x:v>Av. 10 de Agosto N45-20</x:v>
      </x:c>
      <x:c r="Z321" s="22" t="n">
        <x:v>45935</x:v>
      </x:c>
      <x:c r="AA321" t="str">
        <x:v>Recibido</x:v>
      </x:c>
      <x:c r="AB321" t="str">
        <x:v>45 días crédito</x:v>
      </x:c>
      <x:c r="AC321" s="32" t="str">
        <x:v>Compra controlada: producto descontinuado</x:v>
      </x:c>
    </x:row>
    <x:row r="322">
      <x:c r="A322" t="n">
        <x:v>321</x:v>
      </x:c>
      <x:c r="B322" s="22" t="n">
        <x:v>46362</x:v>
      </x:c>
      <x:c r="C322" t="str">
        <x:v>OC-2026-0321</x:v>
      </x:c>
      <x:c r="D322" t="str">
        <x:v>F-D001-202612-1146</x:v>
      </x:c>
      <x:c r="E322" t="str">
        <x:v>L2612-011-0321</x:v>
      </x:c>
      <x:c r="F322" t="str">
        <x:v>D001</x:v>
      </x:c>
      <x:c r="G322" s="32" t="str">
        <x:v>DistriFarma Andina S.A.</x:v>
      </x:c>
      <x:c r="H322" t="str">
        <x:v>MED011</x:v>
      </x:c>
      <x:c r="I322" s="32" t="str">
        <x:v>Jarabe antigripal</x:v>
      </x:c>
      <x:c r="J322" s="32" t="str">
        <x:v>Antigripales</x:v>
      </x:c>
      <x:c r="K322" s="32" t="str">
        <x:v>MEDICAMENTA</x:v>
      </x:c>
      <x:c r="L322" s="32" t="str">
        <x:v>Frasco 120 ml</x:v>
      </x:c>
      <x:c r="M322" s="28" t="n">
        <x:v>5</x:v>
      </x:c>
      <x:c r="N322" s="28" t="n">
        <x:v>50</x:v>
      </x:c>
      <x:c r="O322" s="28" t="n">
        <x:f>M322*N322</x:f>
        <x:v>250</x:v>
      </x:c>
      <x:c r="P322" s="24" t="n">
        <x:v>3.09</x:v>
      </x:c>
      <x:c r="Q322" s="26" t="n">
        <x:v>0.07789460994498006</x:v>
      </x:c>
      <x:c r="R322" s="24" t="n">
        <x:f>O322*P322*Q322</x:f>
        <x:v>60.1735861824971</x:v>
      </x:c>
      <x:c r="S322" s="24" t="n">
        <x:f>P322*(1-Q322)</x:f>
        <x:v>2.8493056552700113</x:v>
      </x:c>
      <x:c r="T322" s="24" t="n">
        <x:f>O322*S322</x:f>
        <x:v>712.3264138175028</x:v>
      </x:c>
      <x:c r="U322" t="str">
        <x:v>SUR</x:v>
      </x:c>
      <x:c r="V322" t="str">
        <x:v>Farmacia del Sur</x:v>
      </x:c>
      <x:c r="W322" t="str">
        <x:v>Zona Sur</x:v>
      </x:c>
      <x:c r="X322" t="str">
        <x:v>Quito</x:v>
      </x:c>
      <x:c r="Y322" s="32" t="str">
        <x:v>Av. Maldonado S25-10</x:v>
      </x:c>
      <x:c r="Z322" s="22" t="n">
        <x:v>46363</x:v>
      </x:c>
      <x:c r="AA322" t="str">
        <x:v>Recibido</x:v>
      </x:c>
      <x:c r="AB322" t="str">
        <x:v>30 días crédito</x:v>
      </x:c>
      <x:c r="AC322" s="32" t="str"/>
    </x:row>
    <x:row r="323">
      <x:c r="A323" t="n">
        <x:v>322</x:v>
      </x:c>
      <x:c r="B323" s="22" t="n">
        <x:v>45992</x:v>
      </x:c>
      <x:c r="C323" t="str">
        <x:v>OC-2025-0322</x:v>
      </x:c>
      <x:c r="D323" t="str">
        <x:v>F-D003-202512-5041</x:v>
      </x:c>
      <x:c r="E323" t="str">
        <x:v>L2512-005-0322</x:v>
      </x:c>
      <x:c r="F323" t="str">
        <x:v>D003</x:v>
      </x:c>
      <x:c r="G323" s="32" t="str">
        <x:v>FarmaLogística Sierra</x:v>
      </x:c>
      <x:c r="H323" t="str">
        <x:v>MED005</x:v>
      </x:c>
      <x:c r="I323" s="32" t="str">
        <x:v>Loratadina 10 mg</x:v>
      </x:c>
      <x:c r="J323" s="32" t="str">
        <x:v>Antigripales</x:v>
      </x:c>
      <x:c r="K323" s="32" t="str">
        <x:v>Genfar</x:v>
      </x:c>
      <x:c r="L323" s="32" t="str">
        <x:v>Caja x 10 tabletas</x:v>
      </x:c>
      <x:c r="M323" s="28" t="n">
        <x:v>15</x:v>
      </x:c>
      <x:c r="N323" s="28" t="n">
        <x:v>50</x:v>
      </x:c>
      <x:c r="O323" s="28" t="n">
        <x:f>M323*N323</x:f>
        <x:v>750</x:v>
      </x:c>
      <x:c r="P323" s="24" t="n">
        <x:v>1.03</x:v>
      </x:c>
      <x:c r="Q323" s="26" t="n">
        <x:v>0.057092502358410284</x:v>
      </x:c>
      <x:c r="R323" s="24" t="n">
        <x:f>O323*P323*Q323</x:f>
        <x:v>44.10395807187194</x:v>
      </x:c>
      <x:c r="S323" s="24" t="n">
        <x:f>P323*(1-Q323)</x:f>
        <x:v>0.9711947225708375</x:v>
      </x:c>
      <x:c r="T323" s="24" t="n">
        <x:f>O323*S323</x:f>
        <x:v>728.3960419281282</x:v>
      </x:c>
      <x:c r="U323" t="str">
        <x:v>SUR</x:v>
      </x:c>
      <x:c r="V323" t="str">
        <x:v>Farmacia del Sur</x:v>
      </x:c>
      <x:c r="W323" t="str">
        <x:v>Zona Sur</x:v>
      </x:c>
      <x:c r="X323" t="str">
        <x:v>Quito</x:v>
      </x:c>
      <x:c r="Y323" s="32" t="str">
        <x:v>Av. Maldonado S25-10</x:v>
      </x:c>
      <x:c r="Z323" s="22" t="n">
        <x:v>45994</x:v>
      </x:c>
      <x:c r="AA323" t="str">
        <x:v>Recibido</x:v>
      </x:c>
      <x:c r="AB323" t="str">
        <x:v>Contado contra entrega</x:v>
      </x:c>
      <x:c r="AC323" s="32" t="str"/>
    </x:row>
    <x:row r="324">
      <x:c r="A324" t="n">
        <x:v>323</x:v>
      </x:c>
      <x:c r="B324" s="22" t="n">
        <x:v>46046</x:v>
      </x:c>
      <x:c r="C324" t="str">
        <x:v>OC-2026-0323</x:v>
      </x:c>
      <x:c r="D324" t="str">
        <x:v>F-D006-202601-1994</x:v>
      </x:c>
      <x:c r="E324" t="str">
        <x:v>L2601-013-0323</x:v>
      </x:c>
      <x:c r="F324" t="str">
        <x:v>D006</x:v>
      </x:c>
      <x:c r="G324" s="32" t="str">
        <x:v>Insumos Médicos del Pacífico</x:v>
      </x:c>
      <x:c r="H324" t="str">
        <x:v>MED013</x:v>
      </x:c>
      <x:c r="I324" s="32" t="str">
        <x:v>Probióticos</x:v>
      </x:c>
      <x:c r="J324" s="32" t="str">
        <x:v>Gastrointestinales</x:v>
      </x:c>
      <x:c r="K324" s="32" t="str">
        <x:v>Laboratorios Bagó</x:v>
      </x:c>
      <x:c r="L324" s="32" t="str">
        <x:v>Caja x 10 sobres</x:v>
      </x:c>
      <x:c r="M324" s="28" t="n">
        <x:v>5</x:v>
      </x:c>
      <x:c r="N324" s="28" t="n">
        <x:v>24</x:v>
      </x:c>
      <x:c r="O324" s="28" t="n">
        <x:f>M324*N324</x:f>
        <x:v>120</x:v>
      </x:c>
      <x:c r="P324" s="24" t="n">
        <x:v>5.75</x:v>
      </x:c>
      <x:c r="Q324" s="26" t="n">
        <x:v>0.1300680949796133</x:v>
      </x:c>
      <x:c r="R324" s="24" t="n">
        <x:f>O324*P324*Q324</x:f>
        <x:v>89.74698553593318</x:v>
      </x:c>
      <x:c r="S324" s="24" t="n">
        <x:f>P324*(1-Q324)</x:f>
        <x:v>5.002108453867224</x:v>
      </x:c>
      <x:c r="T324" s="24" t="n">
        <x:f>O324*S324</x:f>
        <x:v>600.2530144640668</x:v>
      </x:c>
      <x:c r="U324" t="str">
        <x:v>SUR</x:v>
      </x:c>
      <x:c r="V324" t="str">
        <x:v>Farmacia del Sur</x:v>
      </x:c>
      <x:c r="W324" t="str">
        <x:v>Zona Sur</x:v>
      </x:c>
      <x:c r="X324" t="str">
        <x:v>Quito</x:v>
      </x:c>
      <x:c r="Y324" s="32" t="str">
        <x:v>Av. Maldonado S25-10</x:v>
      </x:c>
      <x:c r="Z324" s="22" t="n">
        <x:v>46050</x:v>
      </x:c>
      <x:c r="AA324" t="str">
        <x:v>Recibido</x:v>
      </x:c>
      <x:c r="AB324" t="str">
        <x:v>60 días crédito</x:v>
      </x:c>
      <x:c r="AC324" s="32" t="str">
        <x:v>Descuento por volumen</x:v>
      </x:c>
    </x:row>
    <x:row r="325">
      <x:c r="A325" t="n">
        <x:v>324</x:v>
      </x:c>
      <x:c r="B325" s="22" t="n">
        <x:v>45858</x:v>
      </x:c>
      <x:c r="C325" t="str">
        <x:v>OC-2025-0324</x:v>
      </x:c>
      <x:c r="D325" t="str">
        <x:v>F-D001-202507-5623</x:v>
      </x:c>
      <x:c r="E325" t="str">
        <x:v>L2507-007-0324</x:v>
      </x:c>
      <x:c r="F325" t="str">
        <x:v>D001</x:v>
      </x:c>
      <x:c r="G325" s="32" t="str">
        <x:v>DistriFarma Andina S.A.</x:v>
      </x:c>
      <x:c r="H325" t="str">
        <x:v>MED007</x:v>
      </x:c>
      <x:c r="I325" s="32" t="str">
        <x:v>Omeprazol 20 mg</x:v>
      </x:c>
      <x:c r="J325" s="32" t="str">
        <x:v>Gastrointestinales</x:v>
      </x:c>
      <x:c r="K325" s="32" t="str">
        <x:v>La Santé</x:v>
      </x:c>
      <x:c r="L325" s="32" t="str">
        <x:v>Caja x 30 cápsulas</x:v>
      </x:c>
      <x:c r="M325" s="28" t="n">
        <x:v>8</x:v>
      </x:c>
      <x:c r="N325" s="28" t="n">
        <x:v>60</x:v>
      </x:c>
      <x:c r="O325" s="28" t="n">
        <x:f>M325*N325</x:f>
        <x:v>480</x:v>
      </x:c>
      <x:c r="P325" s="24" t="n">
        <x:v>2.41</x:v>
      </x:c>
      <x:c r="Q325" s="26" t="n">
        <x:v>0.11759356154255284</x:v>
      </x:c>
      <x:c r="R325" s="24" t="n">
        <x:f>O325*P325*Q325</x:f>
        <x:v>136.03223199242515</x:v>
      </x:c>
      <x:c r="S325" s="24" t="n">
        <x:f>P325*(1-Q325)</x:f>
        <x:v>2.1265995166824476</x:v>
      </x:c>
      <x:c r="T325" s="24" t="n">
        <x:f>O325*S325</x:f>
        <x:v>1020.7677680075749</x:v>
      </x:c>
      <x:c r="U325" t="str">
        <x:v>CENTRO</x:v>
      </x:c>
      <x:c r="V325" t="str">
        <x:v>Farmacia Centro Histórico</x:v>
      </x:c>
      <x:c r="W325" t="str">
        <x:v>Zona Centro</x:v>
      </x:c>
      <x:c r="X325" t="str">
        <x:v>Quito</x:v>
      </x:c>
      <x:c r="Y325" s="32" t="str">
        <x:v>Guayaquil y Chile</x:v>
      </x:c>
      <x:c r="Z325" s="22" t="n">
        <x:v>45860</x:v>
      </x:c>
      <x:c r="AA325" t="str">
        <x:v>Recibido</x:v>
      </x:c>
      <x:c r="AB325" t="str">
        <x:v>30 días crédito</x:v>
      </x:c>
      <x:c r="AC325" s="32" t="str"/>
    </x:row>
    <x:row r="326">
      <x:c r="A326" t="n">
        <x:v>325</x:v>
      </x:c>
      <x:c r="B326" s="22" t="n">
        <x:v>45881</x:v>
      </x:c>
      <x:c r="C326" t="str">
        <x:v>OC-2025-0325</x:v>
      </x:c>
      <x:c r="D326" t="str">
        <x:v>F-D005-202508-6386</x:v>
      </x:c>
      <x:c r="E326" t="str">
        <x:v>L2508-010-0325</x:v>
      </x:c>
      <x:c r="F326" t="str">
        <x:v>D005</x:v>
      </x:c>
      <x:c r="G326" s="32" t="str">
        <x:v>PharmaExpress Quito</x:v>
      </x:c>
      <x:c r="H326" t="str">
        <x:v>MED010</x:v>
      </x:c>
      <x:c r="I326" s="32" t="str">
        <x:v>Aspirina 100 mg</x:v>
      </x:c>
      <x:c r="J326" s="32" t="str">
        <x:v>Cardiovasculares</x:v>
      </x:c>
      <x:c r="K326" s="32" t="str">
        <x:v>Bayer</x:v>
      </x:c>
      <x:c r="L326" s="32" t="str">
        <x:v>Caja x 30 tabletas</x:v>
      </x:c>
      <x:c r="M326" s="28" t="n">
        <x:v>5</x:v>
      </x:c>
      <x:c r="N326" s="28" t="n">
        <x:v>60</x:v>
      </x:c>
      <x:c r="O326" s="28" t="n">
        <x:f>M326*N326</x:f>
        <x:v>300</x:v>
      </x:c>
      <x:c r="P326" s="24" t="n">
        <x:v>1.62</x:v>
      </x:c>
      <x:c r="Q326" s="26" t="n">
        <x:v>0.06746670734815877</x:v>
      </x:c>
      <x:c r="R326" s="24" t="n">
        <x:f>O326*P326*Q326</x:f>
        <x:v>32.78881977120516</x:v>
      </x:c>
      <x:c r="S326" s="24" t="n">
        <x:f>P326*(1-Q326)</x:f>
        <x:v>1.510703934095983</x:v>
      </x:c>
      <x:c r="T326" s="24" t="n">
        <x:f>O326*S326</x:f>
        <x:v>453.2111802287949</x:v>
      </x:c>
      <x:c r="U326" t="str">
        <x:v>SUR</x:v>
      </x:c>
      <x:c r="V326" t="str">
        <x:v>Farmacia del Sur</x:v>
      </x:c>
      <x:c r="W326" t="str">
        <x:v>Zona Sur</x:v>
      </x:c>
      <x:c r="X326" t="str">
        <x:v>Quito</x:v>
      </x:c>
      <x:c r="Y326" s="32" t="str">
        <x:v>Av. Maldonado S25-10</x:v>
      </x:c>
      <x:c r="Z326" s="22" t="n">
        <x:v>45882</x:v>
      </x:c>
      <x:c r="AA326" t="str">
        <x:v>Recibido</x:v>
      </x:c>
      <x:c r="AB326" t="str">
        <x:v>30 días crédito</x:v>
      </x:c>
      <x:c r="AC326" s="32" t="str"/>
    </x:row>
    <x:row r="327">
      <x:c r="A327" t="n">
        <x:v>326</x:v>
      </x:c>
      <x:c r="B327" s="22" t="n">
        <x:v>45996</x:v>
      </x:c>
      <x:c r="C327" t="str">
        <x:v>OC-2025-0326</x:v>
      </x:c>
      <x:c r="D327" t="str">
        <x:v>F-D003-202512-6449</x:v>
      </x:c>
      <x:c r="E327" t="str">
        <x:v>L2512-002-0326</x:v>
      </x:c>
      <x:c r="F327" t="str">
        <x:v>D003</x:v>
      </x:c>
      <x:c r="G327" s="32" t="str">
        <x:v>FarmaLogística Sierra</x:v>
      </x:c>
      <x:c r="H327" t="str">
        <x:v>MED002</x:v>
      </x:c>
      <x:c r="I327" s="32" t="str">
        <x:v>Ibuprofeno 400 mg</x:v>
      </x:c>
      <x:c r="J327" s="32" t="str">
        <x:v>Analgésicos</x:v>
      </x:c>
      <x:c r="K327" s="32" t="str">
        <x:v>La Santé</x:v>
      </x:c>
      <x:c r="L327" s="32" t="str">
        <x:v>Caja x 20 tabletas</x:v>
      </x:c>
      <x:c r="M327" s="28" t="n">
        <x:v>24</x:v>
      </x:c>
      <x:c r="N327" s="28" t="n">
        <x:v>20</x:v>
      </x:c>
      <x:c r="O327" s="28" t="n">
        <x:f>M327*N327</x:f>
        <x:v>480</x:v>
      </x:c>
      <x:c r="P327" s="24" t="n">
        <x:v>1.19</x:v>
      </x:c>
      <x:c r="Q327" s="26" t="n">
        <x:v>0.04107999710084724</x:v>
      </x:c>
      <x:c r="R327" s="24" t="n">
        <x:f>O327*P327*Q327</x:f>
        <x:v>23.46489434400394</x:v>
      </x:c>
      <x:c r="S327" s="24" t="n">
        <x:f>P327*(1-Q327)</x:f>
        <x:v>1.1411148034499918</x:v>
      </x:c>
      <x:c r="T327" s="24" t="n">
        <x:f>O327*S327</x:f>
        <x:v>547.7351056559961</x:v>
      </x:c>
      <x:c r="U327" t="str">
        <x:v>VALLE</x:v>
      </x:c>
      <x:c r="V327" t="str">
        <x:v>Farmacia Valle de los Chillos</x:v>
      </x:c>
      <x:c r="W327" t="str">
        <x:v>Zona Valle</x:v>
      </x:c>
      <x:c r="X327" t="str">
        <x:v>Sangolquí</x:v>
      </x:c>
      <x:c r="Y327" s="32" t="str">
        <x:v>Av. Calderón 101</x:v>
      </x:c>
      <x:c r="Z327" s="22" t="n">
        <x:v>45998</x:v>
      </x:c>
      <x:c r="AA327" t="str">
        <x:v>Recibido</x:v>
      </x:c>
      <x:c r="AB327" t="str">
        <x:v>Contado contra entrega</x:v>
      </x:c>
      <x:c r="AC327" s="32" t="str">
        <x:v>Entrega coordinada fuera de horario regular</x:v>
      </x:c>
    </x:row>
    <x:row r="328">
      <x:c r="A328" t="n">
        <x:v>327</x:v>
      </x:c>
      <x:c r="B328" s="22" t="n">
        <x:v>45826</x:v>
      </x:c>
      <x:c r="C328" t="str">
        <x:v>OC-2025-0327</x:v>
      </x:c>
      <x:c r="D328" t="str">
        <x:v>F-D006-202506-5764</x:v>
      </x:c>
      <x:c r="E328" t="str">
        <x:v>L2506-002-0327</x:v>
      </x:c>
      <x:c r="F328" t="str">
        <x:v>D006</x:v>
      </x:c>
      <x:c r="G328" s="32" t="str">
        <x:v>Insumos Médicos del Pacífico</x:v>
      </x:c>
      <x:c r="H328" t="str">
        <x:v>MED002</x:v>
      </x:c>
      <x:c r="I328" s="32" t="str">
        <x:v>Ibuprofeno 400 mg</x:v>
      </x:c>
      <x:c r="J328" s="32" t="str">
        <x:v>Analgésicos</x:v>
      </x:c>
      <x:c r="K328" s="32" t="str">
        <x:v>La Santé</x:v>
      </x:c>
      <x:c r="L328" s="32" t="str">
        <x:v>Caja x 20 tabletas</x:v>
      </x:c>
      <x:c r="M328" s="28" t="n">
        <x:v>15</x:v>
      </x:c>
      <x:c r="N328" s="28" t="n">
        <x:v>10</x:v>
      </x:c>
      <x:c r="O328" s="28" t="n">
        <x:f>M328*N328</x:f>
        <x:v>150</x:v>
      </x:c>
      <x:c r="P328" s="24" t="n">
        <x:v>1.04</x:v>
      </x:c>
      <x:c r="Q328" s="26" t="n">
        <x:v>0.1168066050485064</x:v>
      </x:c>
      <x:c r="R328" s="24" t="n">
        <x:f>O328*P328*Q328</x:f>
        <x:v>18.221830387567</x:v>
      </x:c>
      <x:c r="S328" s="24" t="n">
        <x:f>P328*(1-Q328)</x:f>
        <x:v>0.9185211307495534</x:v>
      </x:c>
      <x:c r="T328" s="24" t="n">
        <x:f>O328*S328</x:f>
        <x:v>137.778169612433</x:v>
      </x:c>
      <x:c r="U328" t="str">
        <x:v>NORTE</x:v>
      </x:c>
      <x:c r="V328" t="str">
        <x:v>Farmacia Norte</x:v>
      </x:c>
      <x:c r="W328" t="str">
        <x:v>Zona Norte</x:v>
      </x:c>
      <x:c r="X328" t="str">
        <x:v>Quito</x:v>
      </x:c>
      <x:c r="Y328" s="32" t="str">
        <x:v>Av. 10 de Agosto N45-20</x:v>
      </x:c>
      <x:c r="Z328" s="22" t="n">
        <x:v>45829</x:v>
      </x:c>
      <x:c r="AA328" t="str">
        <x:v>Recibido</x:v>
      </x:c>
      <x:c r="AB328" t="str">
        <x:v>60 días crédito</x:v>
      </x:c>
      <x:c r="AC328" s="32" t="str">
        <x:v>Entrega coordinada fuera de horario regular</x:v>
      </x:c>
    </x:row>
    <x:row r="329">
      <x:c r="A329" t="n">
        <x:v>328</x:v>
      </x:c>
      <x:c r="B329" s="22" t="n">
        <x:v>45967</x:v>
      </x:c>
      <x:c r="C329" t="str">
        <x:v>OC-2025-0328</x:v>
      </x:c>
      <x:c r="D329" t="str">
        <x:v>F-D003-202511-1947</x:v>
      </x:c>
      <x:c r="E329" t="str">
        <x:v>L2511-007-0328</x:v>
      </x:c>
      <x:c r="F329" t="str">
        <x:v>D003</x:v>
      </x:c>
      <x:c r="G329" s="32" t="str">
        <x:v>FarmaLogística Sierra</x:v>
      </x:c>
      <x:c r="H329" t="str">
        <x:v>MED007</x:v>
      </x:c>
      <x:c r="I329" s="32" t="str">
        <x:v>Omeprazol 20 mg</x:v>
      </x:c>
      <x:c r="J329" s="32" t="str">
        <x:v>Gastrointestinales</x:v>
      </x:c>
      <x:c r="K329" s="32" t="str">
        <x:v>La Santé</x:v>
      </x:c>
      <x:c r="L329" s="32" t="str">
        <x:v>Caja x 30 cápsulas</x:v>
      </x:c>
      <x:c r="M329" s="28" t="n">
        <x:v>12</x:v>
      </x:c>
      <x:c r="N329" s="28" t="n">
        <x:v>50</x:v>
      </x:c>
      <x:c r="O329" s="28" t="n">
        <x:f>M329*N329</x:f>
        <x:v>600</x:v>
      </x:c>
      <x:c r="P329" s="24" t="n">
        <x:v>3.25</x:v>
      </x:c>
      <x:c r="Q329" s="26" t="n">
        <x:v>0.05445173402587372</x:v>
      </x:c>
      <x:c r="R329" s="24" t="n">
        <x:f>O329*P329*Q329</x:f>
        <x:v>106.18088135045376</x:v>
      </x:c>
      <x:c r="S329" s="24" t="n">
        <x:f>P329*(1-Q329)</x:f>
        <x:v>3.0730318644159107</x:v>
      </x:c>
      <x:c r="T329" s="24" t="n">
        <x:f>O329*S329</x:f>
        <x:v>1843.8191186495465</x:v>
      </x:c>
      <x:c r="U329" t="str">
        <x:v>VALLE</x:v>
      </x:c>
      <x:c r="V329" t="str">
        <x:v>Farmacia Valle de los Chillos</x:v>
      </x:c>
      <x:c r="W329" t="str">
        <x:v>Zona Valle</x:v>
      </x:c>
      <x:c r="X329" t="str">
        <x:v>Sangolquí</x:v>
      </x:c>
      <x:c r="Y329" s="32" t="str">
        <x:v>Av. Calderón 101</x:v>
      </x:c>
      <x:c r="Z329" s="22" t="n">
        <x:v>45968</x:v>
      </x:c>
      <x:c r="AA329" t="str">
        <x:v>Recibido</x:v>
      </x:c>
      <x:c r="AB329" t="str">
        <x:v>Contado contra entrega</x:v>
      </x:c>
      <x:c r="AC329" s="32" t="str"/>
    </x:row>
    <x:row r="330">
      <x:c r="A330" t="n">
        <x:v>329</x:v>
      </x:c>
      <x:c r="B330" s="22" t="n">
        <x:v>46209</x:v>
      </x:c>
      <x:c r="C330" t="str">
        <x:v>OC-2026-0329</x:v>
      </x:c>
      <x:c r="D330" t="str">
        <x:v>F-D006-202607-1685</x:v>
      </x:c>
      <x:c r="E330" t="str">
        <x:v>L2607-007-0329</x:v>
      </x:c>
      <x:c r="F330" t="str">
        <x:v>D006</x:v>
      </x:c>
      <x:c r="G330" s="32" t="str">
        <x:v>Insumos Médicos del Pacífico</x:v>
      </x:c>
      <x:c r="H330" t="str">
        <x:v>MED007</x:v>
      </x:c>
      <x:c r="I330" s="32" t="str">
        <x:v>Omeprazol 20 mg</x:v>
      </x:c>
      <x:c r="J330" s="32" t="str">
        <x:v>Gastrointestinales</x:v>
      </x:c>
      <x:c r="K330" s="32" t="str">
        <x:v>La Santé</x:v>
      </x:c>
      <x:c r="L330" s="32" t="str">
        <x:v>Caja x 30 cápsulas</x:v>
      </x:c>
      <x:c r="M330" s="28" t="n">
        <x:v>5</x:v>
      </x:c>
      <x:c r="N330" s="28" t="n">
        <x:v>60</x:v>
      </x:c>
      <x:c r="O330" s="28" t="n">
        <x:f>M330*N330</x:f>
        <x:v>300</x:v>
      </x:c>
      <x:c r="P330" s="24" t="n">
        <x:v>3.15</x:v>
      </x:c>
      <x:c r="Q330" s="26" t="n">
        <x:v>0.1384507377048218</x:v>
      </x:c>
      <x:c r="R330" s="24" t="n">
        <x:f>O330*P330*Q330</x:f>
        <x:v>130.8359471310566</x:v>
      </x:c>
      <x:c r="S330" s="24" t="n">
        <x:f>P330*(1-Q330)</x:f>
        <x:v>2.7138801762298113</x:v>
      </x:c>
      <x:c r="T330" s="24" t="n">
        <x:f>O330*S330</x:f>
        <x:v>814.1640528689434</x:v>
      </x:c>
      <x:c r="U330" t="str">
        <x:v>NORTE</x:v>
      </x:c>
      <x:c r="V330" t="str">
        <x:v>Farmacia Norte</x:v>
      </x:c>
      <x:c r="W330" t="str">
        <x:v>Zona Norte</x:v>
      </x:c>
      <x:c r="X330" t="str">
        <x:v>Quito</x:v>
      </x:c>
      <x:c r="Y330" s="32" t="str">
        <x:v>Av. 10 de Agosto N45-20</x:v>
      </x:c>
      <x:c r="Z330" s="22" t="n">
        <x:v>46213</x:v>
      </x:c>
      <x:c r="AA330" t="str">
        <x:v>Recibido</x:v>
      </x:c>
      <x:c r="AB330" t="str">
        <x:v>60 días crédito</x:v>
      </x:c>
      <x:c r="AC330" s="32" t="str">
        <x:v>Descuento por volumen</x:v>
      </x:c>
    </x:row>
    <x:row r="331">
      <x:c r="A331" t="n">
        <x:v>330</x:v>
      </x:c>
      <x:c r="B331" s="22" t="n">
        <x:v>45791</x:v>
      </x:c>
      <x:c r="C331" t="str">
        <x:v>OC-2025-0330</x:v>
      </x:c>
      <x:c r="D331" t="str">
        <x:v>F-D002-202505-1469</x:v>
      </x:c>
      <x:c r="E331" t="str">
        <x:v>L2505-006-0330</x:v>
      </x:c>
      <x:c r="F331" t="str">
        <x:v>D002</x:v>
      </x:c>
      <x:c r="G331" s="32" t="str">
        <x:v>MedSupply Ecuador Cía. Ltda.</x:v>
      </x:c>
      <x:c r="H331" t="str">
        <x:v>MED006</x:v>
      </x:c>
      <x:c r="I331" s="32" t="str">
        <x:v>Vitamina C 1 g</x:v>
      </x:c>
      <x:c r="J331" s="32" t="str">
        <x:v>Vitaminas</x:v>
      </x:c>
      <x:c r="K331" s="32" t="str">
        <x:v>Novartis</x:v>
      </x:c>
      <x:c r="L331" s="32" t="str">
        <x:v>Tubo x 10 efervescentes</x:v>
      </x:c>
      <x:c r="M331" s="28" t="n">
        <x:v>13</x:v>
      </x:c>
      <x:c r="N331" s="28" t="n">
        <x:v>24</x:v>
      </x:c>
      <x:c r="O331" s="28" t="n">
        <x:f>M331*N331</x:f>
        <x:v>312</x:v>
      </x:c>
      <x:c r="P331" s="24" t="n">
        <x:v>2.59</x:v>
      </x:c>
      <x:c r="Q331" s="26" t="n">
        <x:v>0.07724790085099265</x:v>
      </x:c>
      <x:c r="R331" s="24" t="n">
        <x:f>O331*P331*Q331</x:f>
        <x:v>62.42248371967013</x:v>
      </x:c>
      <x:c r="S331" s="24" t="n">
        <x:f>P331*(1-Q331)</x:f>
        <x:v>2.389927936795929</x:v>
      </x:c>
      <x:c r="T331" s="24" t="n">
        <x:f>O331*S331</x:f>
        <x:v>745.6575162803298</x:v>
      </x:c>
      <x:c r="U331" t="str">
        <x:v>NORTE</x:v>
      </x:c>
      <x:c r="V331" t="str">
        <x:v>Farmacia Norte</x:v>
      </x:c>
      <x:c r="W331" t="str">
        <x:v>Zona Norte</x:v>
      </x:c>
      <x:c r="X331" t="str">
        <x:v>Quito</x:v>
      </x:c>
      <x:c r="Y331" s="32" t="str">
        <x:v>Av. 10 de Agosto N45-20</x:v>
      </x:c>
      <x:c r="Z331" s="22" t="n">
        <x:v>45796</x:v>
      </x:c>
      <x:c r="AA331" t="str">
        <x:v>Recibido</x:v>
      </x:c>
      <x:c r="AB331" t="str">
        <x:v>15 días crédito</x:v>
      </x:c>
      <x:c r="AC331" s="32" t="str"/>
    </x:row>
    <x:row r="332">
      <x:c r="A332" t="n">
        <x:v>331</x:v>
      </x:c>
      <x:c r="B332" s="22" t="n">
        <x:v>45754</x:v>
      </x:c>
      <x:c r="C332" t="str">
        <x:v>OC-2025-0331</x:v>
      </x:c>
      <x:c r="D332" t="str">
        <x:v>F-D004-202504-8176</x:v>
      </x:c>
      <x:c r="E332" t="str">
        <x:v>L2504-014-0331</x:v>
      </x:c>
      <x:c r="F332" t="str">
        <x:v>D004</x:v>
      </x:c>
      <x:c r="G332" s="32" t="str">
        <x:v>Distribuidora Salud Total</x:v>
      </x:c>
      <x:c r="H332" t="str">
        <x:v>MED014</x:v>
      </x:c>
      <x:c r="I332" s="32" t="str">
        <x:v>Crema antimicótica</x:v>
      </x:c>
      <x:c r="J332" s="32" t="str">
        <x:v>Dermatológicos</x:v>
      </x:c>
      <x:c r="K332" s="32" t="str">
        <x:v>Acromax</x:v>
      </x:c>
      <x:c r="L332" s="32" t="str">
        <x:v>Tubo 30 g</x:v>
      </x:c>
      <x:c r="M332" s="28" t="n">
        <x:v>20</x:v>
      </x:c>
      <x:c r="N332" s="28" t="n">
        <x:v>24</x:v>
      </x:c>
      <x:c r="O332" s="28" t="n">
        <x:f>M332*N332</x:f>
        <x:v>480</x:v>
      </x:c>
      <x:c r="P332" s="24" t="n">
        <x:v>1.99</x:v>
      </x:c>
      <x:c r="Q332" s="26" t="n">
        <x:v>0.10540176885245184</x:v>
      </x:c>
      <x:c r="R332" s="24" t="n">
        <x:f>O332*P332*Q332</x:f>
        <x:v>100.679769607862</x:v>
      </x:c>
      <x:c r="S332" s="24" t="n">
        <x:f>P332*(1-Q332)</x:f>
        <x:v>1.780250479983621</x:v>
      </x:c>
      <x:c r="T332" s="24" t="n">
        <x:f>O332*S332</x:f>
        <x:v>854.520230392138</x:v>
      </x:c>
      <x:c r="U332" t="str">
        <x:v>SUR</x:v>
      </x:c>
      <x:c r="V332" t="str">
        <x:v>Farmacia del Sur</x:v>
      </x:c>
      <x:c r="W332" t="str">
        <x:v>Zona Sur</x:v>
      </x:c>
      <x:c r="X332" t="str">
        <x:v>Quito</x:v>
      </x:c>
      <x:c r="Y332" s="32" t="str">
        <x:v>Av. Maldonado S25-10</x:v>
      </x:c>
      <x:c r="Z332" s="22" t="n">
        <x:v>45755</x:v>
      </x:c>
      <x:c r="AA332" t="str">
        <x:v>Recibido</x:v>
      </x:c>
      <x:c r="AB332" t="str">
        <x:v>45 días crédito</x:v>
      </x:c>
      <x:c r="AC332" s="32" t="str"/>
    </x:row>
    <x:row r="333">
      <x:c r="A333" t="n">
        <x:v>332</x:v>
      </x:c>
      <x:c r="B333" s="22" t="n">
        <x:v>45758</x:v>
      </x:c>
      <x:c r="C333" t="str">
        <x:v>OC-2025-0332</x:v>
      </x:c>
      <x:c r="D333" t="str">
        <x:v>F-D003-202504-4827</x:v>
      </x:c>
      <x:c r="E333" t="str">
        <x:v>L2504-005-0332</x:v>
      </x:c>
      <x:c r="F333" t="str">
        <x:v>D003</x:v>
      </x:c>
      <x:c r="G333" s="32" t="str">
        <x:v>FarmaLogística Sierra</x:v>
      </x:c>
      <x:c r="H333" t="str">
        <x:v>MED005</x:v>
      </x:c>
      <x:c r="I333" s="32" t="str">
        <x:v>Loratadina 10 mg</x:v>
      </x:c>
      <x:c r="J333" s="32" t="str">
        <x:v>Antigripales</x:v>
      </x:c>
      <x:c r="K333" s="32" t="str">
        <x:v>Genfar</x:v>
      </x:c>
      <x:c r="L333" s="32" t="str">
        <x:v>Caja x 10 tabletas</x:v>
      </x:c>
      <x:c r="M333" s="28" t="n">
        <x:v>20</x:v>
      </x:c>
      <x:c r="N333" s="28" t="n">
        <x:v>24</x:v>
      </x:c>
      <x:c r="O333" s="28" t="n">
        <x:f>M333*N333</x:f>
        <x:v>480</x:v>
      </x:c>
      <x:c r="P333" s="24" t="n">
        <x:v>0.9</x:v>
      </x:c>
      <x:c r="Q333" s="26" t="n">
        <x:v>0.05754284877586503</x:v>
      </x:c>
      <x:c r="R333" s="24" t="n">
        <x:f>O333*P333*Q333</x:f>
        <x:v>24.858510671173693</x:v>
      </x:c>
      <x:c r="S333" s="24" t="n">
        <x:f>P333*(1-Q333)</x:f>
        <x:v>0.8482114361017214</x:v>
      </x:c>
      <x:c r="T333" s="24" t="n">
        <x:f>O333*S333</x:f>
        <x:v>407.1414893288263</x:v>
      </x:c>
      <x:c r="U333" t="str">
        <x:v>NORTE</x:v>
      </x:c>
      <x:c r="V333" t="str">
        <x:v>Farmacia Norte</x:v>
      </x:c>
      <x:c r="W333" t="str">
        <x:v>Zona Norte</x:v>
      </x:c>
      <x:c r="X333" t="str">
        <x:v>Quito</x:v>
      </x:c>
      <x:c r="Y333" s="32" t="str">
        <x:v>Av. 10 de Agosto N45-20</x:v>
      </x:c>
      <x:c r="Z333" s="22" t="n">
        <x:v>45760</x:v>
      </x:c>
      <x:c r="AA333" t="str">
        <x:v>Recibido</x:v>
      </x:c>
      <x:c r="AB333" t="str">
        <x:v>Contado contra entrega</x:v>
      </x:c>
      <x:c r="AC333" s="32" t="str">
        <x:v>Entrega coordinada fuera de horario regular</x:v>
      </x:c>
    </x:row>
    <x:row r="334">
      <x:c r="A334" t="n">
        <x:v>333</x:v>
      </x:c>
      <x:c r="B334" s="22" t="n">
        <x:v>45720</x:v>
      </x:c>
      <x:c r="C334" t="str">
        <x:v>OC-2025-0333</x:v>
      </x:c>
      <x:c r="D334" t="str">
        <x:v>F-D004-202503-4015</x:v>
      </x:c>
      <x:c r="E334" t="str">
        <x:v>L2503-014-0333</x:v>
      </x:c>
      <x:c r="F334" t="str">
        <x:v>D004</x:v>
      </x:c>
      <x:c r="G334" s="32" t="str">
        <x:v>Distribuidora Salud Total</x:v>
      </x:c>
      <x:c r="H334" t="str">
        <x:v>MED014</x:v>
      </x:c>
      <x:c r="I334" s="32" t="str">
        <x:v>Crema antimicótica</x:v>
      </x:c>
      <x:c r="J334" s="32" t="str">
        <x:v>Dermatológicos</x:v>
      </x:c>
      <x:c r="K334" s="32" t="str">
        <x:v>Acromax</x:v>
      </x:c>
      <x:c r="L334" s="32" t="str">
        <x:v>Tubo 30 g</x:v>
      </x:c>
      <x:c r="M334" s="28" t="n">
        <x:v>8</x:v>
      </x:c>
      <x:c r="N334" s="28" t="n">
        <x:v>10</x:v>
      </x:c>
      <x:c r="O334" s="28" t="n">
        <x:f>M334*N334</x:f>
        <x:v>80</x:v>
      </x:c>
      <x:c r="P334" s="24" t="n">
        <x:v>2.35</x:v>
      </x:c>
      <x:c r="Q334" s="26" t="n">
        <x:v>0.1305883823968799</x:v>
      </x:c>
      <x:c r="R334" s="24" t="n">
        <x:f>O334*P334*Q334</x:f>
        <x:v>24.550615890613418</x:v>
      </x:c>
      <x:c r="S334" s="24" t="n">
        <x:f>P334*(1-Q334)</x:f>
        <x:v>2.0431173013673325</x:v>
      </x:c>
      <x:c r="T334" s="24" t="n">
        <x:f>O334*S334</x:f>
        <x:v>163.44938410938659</x:v>
      </x:c>
      <x:c r="U334" t="str">
        <x:v>NORTE</x:v>
      </x:c>
      <x:c r="V334" t="str">
        <x:v>Farmacia Norte</x:v>
      </x:c>
      <x:c r="W334" t="str">
        <x:v>Zona Norte</x:v>
      </x:c>
      <x:c r="X334" t="str">
        <x:v>Quito</x:v>
      </x:c>
      <x:c r="Y334" s="32" t="str">
        <x:v>Av. 10 de Agosto N45-20</x:v>
      </x:c>
      <x:c r="Z334" s="22" t="n">
        <x:v>45721</x:v>
      </x:c>
      <x:c r="AA334" t="str">
        <x:v>Recibido</x:v>
      </x:c>
      <x:c r="AB334" t="str">
        <x:v>45 días crédito</x:v>
      </x:c>
      <x:c r="AC334" s="32" t="str">
        <x:v>Descuento por volumen</x:v>
      </x:c>
    </x:row>
    <x:row r="335">
      <x:c r="A335" t="n">
        <x:v>334</x:v>
      </x:c>
      <x:c r="B335" s="22" t="n">
        <x:v>45907</x:v>
      </x:c>
      <x:c r="C335" t="str">
        <x:v>OC-2025-0334</x:v>
      </x:c>
      <x:c r="D335" t="str">
        <x:v>F-D007-202509-3848</x:v>
      </x:c>
      <x:c r="E335" t="str">
        <x:v>L2509-006-0334</x:v>
      </x:c>
      <x:c r="F335" t="str">
        <x:v>D007</x:v>
      </x:c>
      <x:c r="G335" s="32" t="str">
        <x:v>Comercializadora BioFarma</x:v>
      </x:c>
      <x:c r="H335" t="str">
        <x:v>MED006</x:v>
      </x:c>
      <x:c r="I335" s="32" t="str">
        <x:v>Vitamina C 1 g</x:v>
      </x:c>
      <x:c r="J335" s="32" t="str">
        <x:v>Vitaminas</x:v>
      </x:c>
      <x:c r="K335" s="32" t="str">
        <x:v>Novartis</x:v>
      </x:c>
      <x:c r="L335" s="32" t="str">
        <x:v>Tubo x 10 efervescentes</x:v>
      </x:c>
      <x:c r="M335" s="28" t="n">
        <x:v>13</x:v>
      </x:c>
      <x:c r="N335" s="28" t="n">
        <x:v>24</x:v>
      </x:c>
      <x:c r="O335" s="28" t="n">
        <x:f>M335*N335</x:f>
        <x:v>312</x:v>
      </x:c>
      <x:c r="P335" s="24" t="n">
        <x:v>2.08</x:v>
      </x:c>
      <x:c r="Q335" s="26" t="n">
        <x:v>0.06976824006463749</x:v>
      </x:c>
      <x:c r="R335" s="24" t="n">
        <x:f>O335*P335*Q335</x:f>
        <x:v>45.276797072347144</x:v>
      </x:c>
      <x:c r="S335" s="24" t="n">
        <x:f>P335*(1-Q335)</x:f>
        <x:v>1.9348820606655541</x:v>
      </x:c>
      <x:c r="T335" s="24" t="n">
        <x:f>O335*S335</x:f>
        <x:v>603.6832029276529</x:v>
      </x:c>
      <x:c r="U335" t="str">
        <x:v>CENTRO</x:v>
      </x:c>
      <x:c r="V335" t="str">
        <x:v>Farmacia Centro Histórico</x:v>
      </x:c>
      <x:c r="W335" t="str">
        <x:v>Zona Centro</x:v>
      </x:c>
      <x:c r="X335" t="str">
        <x:v>Quito</x:v>
      </x:c>
      <x:c r="Y335" s="32" t="str">
        <x:v>Guayaquil y Chile</x:v>
      </x:c>
      <x:c r="Z335" s="22" t="n">
        <x:v>45909</x:v>
      </x:c>
      <x:c r="AA335" t="str">
        <x:v>Recibido</x:v>
      </x:c>
      <x:c r="AB335" t="str">
        <x:v>15 días crédito</x:v>
      </x:c>
      <x:c r="AC335" s="32" t="str"/>
    </x:row>
    <x:row r="336">
      <x:c r="A336" t="n">
        <x:v>335</x:v>
      </x:c>
      <x:c r="B336" s="22" t="n">
        <x:v>46235</x:v>
      </x:c>
      <x:c r="C336" t="str">
        <x:v>OC-2026-0335</x:v>
      </x:c>
      <x:c r="D336" t="str">
        <x:v>F-D003-202608-5784</x:v>
      </x:c>
      <x:c r="E336" t="str">
        <x:v>L2608-005-0335</x:v>
      </x:c>
      <x:c r="F336" t="str">
        <x:v>D003</x:v>
      </x:c>
      <x:c r="G336" s="32" t="str">
        <x:v>FarmaLogística Sierra</x:v>
      </x:c>
      <x:c r="H336" t="str">
        <x:v>MED005</x:v>
      </x:c>
      <x:c r="I336" s="32" t="str">
        <x:v>Loratadina 10 mg</x:v>
      </x:c>
      <x:c r="J336" s="32" t="str">
        <x:v>Antigripales</x:v>
      </x:c>
      <x:c r="K336" s="32" t="str">
        <x:v>Genfar</x:v>
      </x:c>
      <x:c r="L336" s="32" t="str">
        <x:v>Caja x 10 tabletas</x:v>
      </x:c>
      <x:c r="M336" s="28" t="n">
        <x:v>12</x:v>
      </x:c>
      <x:c r="N336" s="28" t="n">
        <x:v>30</x:v>
      </x:c>
      <x:c r="O336" s="28" t="n">
        <x:f>M336*N336</x:f>
        <x:v>360</x:v>
      </x:c>
      <x:c r="P336" s="24" t="n">
        <x:v>1.19</x:v>
      </x:c>
      <x:c r="Q336" s="26" t="n">
        <x:v>0.07092165612275879</x:v>
      </x:c>
      <x:c r="R336" s="24" t="n">
        <x:f>O336*P336*Q336</x:f>
        <x:v>30.382837482989864</x:v>
      </x:c>
      <x:c r="S336" s="24" t="n">
        <x:f>P336*(1-Q336)</x:f>
        <x:v>1.105603229213917</x:v>
      </x:c>
      <x:c r="T336" s="24" t="n">
        <x:f>O336*S336</x:f>
        <x:v>398.01716251701015</x:v>
      </x:c>
      <x:c r="U336" t="str">
        <x:v>SUR</x:v>
      </x:c>
      <x:c r="V336" t="str">
        <x:v>Farmacia del Sur</x:v>
      </x:c>
      <x:c r="W336" t="str">
        <x:v>Zona Sur</x:v>
      </x:c>
      <x:c r="X336" t="str">
        <x:v>Quito</x:v>
      </x:c>
      <x:c r="Y336" s="32" t="str">
        <x:v>Av. Maldonado S25-10</x:v>
      </x:c>
      <x:c r="Z336" s="22" t="n">
        <x:v>46239</x:v>
      </x:c>
      <x:c r="AA336" t="str">
        <x:v>Recibido</x:v>
      </x:c>
      <x:c r="AB336" t="str">
        <x:v>Contado contra entrega</x:v>
      </x:c>
      <x:c r="AC336" s="32" t="str"/>
    </x:row>
    <x:row r="337">
      <x:c r="A337" t="n">
        <x:v>336</x:v>
      </x:c>
      <x:c r="B337" s="22" t="n">
        <x:v>46290</x:v>
      </x:c>
      <x:c r="C337" t="str">
        <x:v>OC-2026-0336</x:v>
      </x:c>
      <x:c r="D337" t="str">
        <x:v>F-D006-202609-7219</x:v>
      </x:c>
      <x:c r="E337" t="str">
        <x:v>L2609-007-0336</x:v>
      </x:c>
      <x:c r="F337" t="str">
        <x:v>D006</x:v>
      </x:c>
      <x:c r="G337" s="32" t="str">
        <x:v>Insumos Médicos del Pacífico</x:v>
      </x:c>
      <x:c r="H337" t="str">
        <x:v>MED007</x:v>
      </x:c>
      <x:c r="I337" s="32" t="str">
        <x:v>Omeprazol 20 mg</x:v>
      </x:c>
      <x:c r="J337" s="32" t="str">
        <x:v>Gastrointestinales</x:v>
      </x:c>
      <x:c r="K337" s="32" t="str">
        <x:v>La Santé</x:v>
      </x:c>
      <x:c r="L337" s="32" t="str">
        <x:v>Caja x 30 cápsulas</x:v>
      </x:c>
      <x:c r="M337" s="28" t="n">
        <x:v>9</x:v>
      </x:c>
      <x:c r="N337" s="28" t="n">
        <x:v>20</x:v>
      </x:c>
      <x:c r="O337" s="28" t="n">
        <x:f>M337*N337</x:f>
        <x:v>180</x:v>
      </x:c>
      <x:c r="P337" s="24" t="n">
        <x:v>3.11</x:v>
      </x:c>
      <x:c r="Q337" s="26" t="n">
        <x:v>0.11902130129946784</x:v>
      </x:c>
      <x:c r="R337" s="24" t="n">
        <x:f>O337*P337*Q337</x:f>
        <x:v>66.62812446744209</x:v>
      </x:c>
      <x:c r="S337" s="24" t="n">
        <x:f>P337*(1-Q337)</x:f>
        <x:v>2.739843752958655</x:v>
      </x:c>
      <x:c r="T337" s="24" t="n">
        <x:f>O337*S337</x:f>
        <x:v>493.1718755325579</x:v>
      </x:c>
      <x:c r="U337" t="str">
        <x:v>VALLE</x:v>
      </x:c>
      <x:c r="V337" t="str">
        <x:v>Farmacia Valle de los Chillos</x:v>
      </x:c>
      <x:c r="W337" t="str">
        <x:v>Zona Valle</x:v>
      </x:c>
      <x:c r="X337" t="str">
        <x:v>Sangolquí</x:v>
      </x:c>
      <x:c r="Y337" s="32" t="str">
        <x:v>Av. Calderón 101</x:v>
      </x:c>
      <x:c r="Z337" s="22" t="n">
        <x:v>46292</x:v>
      </x:c>
      <x:c r="AA337" t="str">
        <x:v>Recibido</x:v>
      </x:c>
      <x:c r="AB337" t="str">
        <x:v>60 días crédito</x:v>
      </x:c>
      <x:c r="AC337" s="32" t="str">
        <x:v>Entrega coordinada fuera de horario regular</x:v>
      </x:c>
    </x:row>
    <x:row r="338">
      <x:c r="A338" t="n">
        <x:v>337</x:v>
      </x:c>
      <x:c r="B338" s="22" t="n">
        <x:v>45749</x:v>
      </x:c>
      <x:c r="C338" t="str">
        <x:v>OC-2025-0337</x:v>
      </x:c>
      <x:c r="D338" t="str">
        <x:v>F-D006-202504-8297</x:v>
      </x:c>
      <x:c r="E338" t="str">
        <x:v>L2504-002-0337</x:v>
      </x:c>
      <x:c r="F338" t="str">
        <x:v>D006</x:v>
      </x:c>
      <x:c r="G338" s="32" t="str">
        <x:v>Insumos Médicos del Pacífico</x:v>
      </x:c>
      <x:c r="H338" t="str">
        <x:v>MED002</x:v>
      </x:c>
      <x:c r="I338" s="32" t="str">
        <x:v>Ibuprofeno 400 mg</x:v>
      </x:c>
      <x:c r="J338" s="32" t="str">
        <x:v>Analgésicos</x:v>
      </x:c>
      <x:c r="K338" s="32" t="str">
        <x:v>La Santé</x:v>
      </x:c>
      <x:c r="L338" s="32" t="str">
        <x:v>Caja x 20 tabletas</x:v>
      </x:c>
      <x:c r="M338" s="28" t="n">
        <x:v>6</x:v>
      </x:c>
      <x:c r="N338" s="28" t="n">
        <x:v>30</x:v>
      </x:c>
      <x:c r="O338" s="28" t="n">
        <x:f>M338*N338</x:f>
        <x:v>180</x:v>
      </x:c>
      <x:c r="P338" s="24" t="n">
        <x:v>1.08</x:v>
      </x:c>
      <x:c r="Q338" s="26" t="n">
        <x:v>0.13717963089171456</x:v>
      </x:c>
      <x:c r="R338" s="24" t="n">
        <x:f>O338*P338*Q338</x:f>
        <x:v>26.66772024534931</x:v>
      </x:c>
      <x:c r="S338" s="24" t="n">
        <x:f>P338*(1-Q338)</x:f>
        <x:v>0.9318459986369483</x:v>
      </x:c>
      <x:c r="T338" s="24" t="n">
        <x:f>O338*S338</x:f>
        <x:v>167.73227975465068</x:v>
      </x:c>
      <x:c r="U338" t="str">
        <x:v>VALLE</x:v>
      </x:c>
      <x:c r="V338" t="str">
        <x:v>Farmacia Valle de los Chillos</x:v>
      </x:c>
      <x:c r="W338" t="str">
        <x:v>Zona Valle</x:v>
      </x:c>
      <x:c r="X338" t="str">
        <x:v>Sangolquí</x:v>
      </x:c>
      <x:c r="Y338" s="32" t="str">
        <x:v>Av. Calderón 101</x:v>
      </x:c>
      <x:c r="Z338" s="22" t="n">
        <x:v>45750</x:v>
      </x:c>
      <x:c r="AA338" t="str">
        <x:v>Recibido</x:v>
      </x:c>
      <x:c r="AB338" t="str">
        <x:v>60 días crédito</x:v>
      </x:c>
      <x:c r="AC338" s="32" t="str">
        <x:v>Descuento por volumen</x:v>
      </x:c>
    </x:row>
    <x:row r="339">
      <x:c r="A339" t="n">
        <x:v>338</x:v>
      </x:c>
      <x:c r="B339" s="22" t="n">
        <x:v>46336</x:v>
      </x:c>
      <x:c r="C339" t="str">
        <x:v>OC-2026-0338</x:v>
      </x:c>
      <x:c r="D339" t="str">
        <x:v>F-D006-202611-3751</x:v>
      </x:c>
      <x:c r="E339" t="str">
        <x:v>L2611-007-0338</x:v>
      </x:c>
      <x:c r="F339" t="str">
        <x:v>D006</x:v>
      </x:c>
      <x:c r="G339" s="32" t="str">
        <x:v>Insumos Médicos del Pacífico</x:v>
      </x:c>
      <x:c r="H339" t="str">
        <x:v>MED007</x:v>
      </x:c>
      <x:c r="I339" s="32" t="str">
        <x:v>Omeprazol 20 mg</x:v>
      </x:c>
      <x:c r="J339" s="32" t="str">
        <x:v>Gastrointestinales</x:v>
      </x:c>
      <x:c r="K339" s="32" t="str">
        <x:v>La Santé</x:v>
      </x:c>
      <x:c r="L339" s="32" t="str">
        <x:v>Caja x 30 cápsulas</x:v>
      </x:c>
      <x:c r="M339" s="28" t="n">
        <x:v>15</x:v>
      </x:c>
      <x:c r="N339" s="28" t="n">
        <x:v>24</x:v>
      </x:c>
      <x:c r="O339" s="28" t="n">
        <x:f>M339*N339</x:f>
        <x:v>360</x:v>
      </x:c>
      <x:c r="P339" s="24" t="n">
        <x:v>3.1</x:v>
      </x:c>
      <x:c r="Q339" s="26" t="n">
        <x:v>0.1083989715170595</x:v>
      </x:c>
      <x:c r="R339" s="24" t="n">
        <x:f>O339*P339*Q339</x:f>
        <x:v>120.9732522130384</x:v>
      </x:c>
      <x:c r="S339" s="24" t="n">
        <x:f>P339*(1-Q339)</x:f>
        <x:v>2.7639631882971156</x:v>
      </x:c>
      <x:c r="T339" s="24" t="n">
        <x:f>O339*S339</x:f>
        <x:v>995.0267477869617</x:v>
      </x:c>
      <x:c r="U339" t="str">
        <x:v>CENTRO</x:v>
      </x:c>
      <x:c r="V339" t="str">
        <x:v>Farmacia Centro Histórico</x:v>
      </x:c>
      <x:c r="W339" t="str">
        <x:v>Zona Centro</x:v>
      </x:c>
      <x:c r="X339" t="str">
        <x:v>Quito</x:v>
      </x:c>
      <x:c r="Y339" s="32" t="str">
        <x:v>Guayaquil y Chile</x:v>
      </x:c>
      <x:c r="Z339" s="22" t="n">
        <x:v>46337</x:v>
      </x:c>
      <x:c r="AA339" t="str">
        <x:v>Recibido</x:v>
      </x:c>
      <x:c r="AB339" t="str">
        <x:v>60 días crédito</x:v>
      </x:c>
      <x:c r="AC339" s="32" t="str"/>
    </x:row>
    <x:row r="340">
      <x:c r="A340" t="n">
        <x:v>339</x:v>
      </x:c>
      <x:c r="B340" s="22" t="n">
        <x:v>45766</x:v>
      </x:c>
      <x:c r="C340" t="str">
        <x:v>OC-2025-0339</x:v>
      </x:c>
      <x:c r="D340" t="str">
        <x:v>F-D002-202504-7170</x:v>
      </x:c>
      <x:c r="E340" t="str">
        <x:v>L2504-012-0339</x:v>
      </x:c>
      <x:c r="F340" t="str">
        <x:v>D002</x:v>
      </x:c>
      <x:c r="G340" s="32" t="str">
        <x:v>MedSupply Ecuador Cía. Ltda.</x:v>
      </x:c>
      <x:c r="H340" t="str">
        <x:v>MED012</x:v>
      </x:c>
      <x:c r="I340" s="32" t="str">
        <x:v>Multivitamínico adulto</x:v>
      </x:c>
      <x:c r="J340" s="32" t="str">
        <x:v>Vitaminas</x:v>
      </x:c>
      <x:c r="K340" s="32" t="str">
        <x:v>Novartis</x:v>
      </x:c>
      <x:c r="L340" s="32" t="str">
        <x:v>Frasco x 30 tabletas</x:v>
      </x:c>
      <x:c r="M340" s="28" t="n">
        <x:v>3</x:v>
      </x:c>
      <x:c r="N340" s="28" t="n">
        <x:v>50</x:v>
      </x:c>
      <x:c r="O340" s="28" t="n">
        <x:f>M340*N340</x:f>
        <x:v>150</x:v>
      </x:c>
      <x:c r="P340" s="24" t="n">
        <x:v>4.18</x:v>
      </x:c>
      <x:c r="Q340" s="26" t="n">
        <x:v>0.036472654578451114</x:v>
      </x:c>
      <x:c r="R340" s="24" t="n">
        <x:f>O340*P340*Q340</x:f>
        <x:v>22.86835442068885</x:v>
      </x:c>
      <x:c r="S340" s="24" t="n">
        <x:f>P340*(1-Q340)</x:f>
        <x:v>4.027544303862074</x:v>
      </x:c>
      <x:c r="T340" s="24" t="n">
        <x:f>O340*S340</x:f>
        <x:v>604.1316455793111</x:v>
      </x:c>
      <x:c r="U340" t="str">
        <x:v>VALLE</x:v>
      </x:c>
      <x:c r="V340" t="str">
        <x:v>Farmacia Valle de los Chillos</x:v>
      </x:c>
      <x:c r="W340" t="str">
        <x:v>Zona Valle</x:v>
      </x:c>
      <x:c r="X340" t="str">
        <x:v>Sangolquí</x:v>
      </x:c>
      <x:c r="Y340" s="32" t="str">
        <x:v>Av. Calderón 101</x:v>
      </x:c>
      <x:c r="Z340" s="22" t="n">
        <x:v>45768</x:v>
      </x:c>
      <x:c r="AA340" t="str">
        <x:v>Recibido</x:v>
      </x:c>
      <x:c r="AB340" t="str">
        <x:v>15 días crédito</x:v>
      </x:c>
      <x:c r="AC340" s="32" t="str"/>
    </x:row>
    <x:row r="341">
      <x:c r="A341" t="n">
        <x:v>340</x:v>
      </x:c>
      <x:c r="B341" s="22" t="n">
        <x:v>46169</x:v>
      </x:c>
      <x:c r="C341" t="str">
        <x:v>OC-2026-0340</x:v>
      </x:c>
      <x:c r="D341" t="str">
        <x:v>F-D004-202605-1183</x:v>
      </x:c>
      <x:c r="E341" t="str">
        <x:v>L2605-011-0340</x:v>
      </x:c>
      <x:c r="F341" t="str">
        <x:v>D004</x:v>
      </x:c>
      <x:c r="G341" s="32" t="str">
        <x:v>Distribuidora Salud Total</x:v>
      </x:c>
      <x:c r="H341" t="str">
        <x:v>MED011</x:v>
      </x:c>
      <x:c r="I341" s="32" t="str">
        <x:v>Jarabe antigripal</x:v>
      </x:c>
      <x:c r="J341" s="32" t="str">
        <x:v>Antigripales</x:v>
      </x:c>
      <x:c r="K341" s="32" t="str">
        <x:v>MEDICAMENTA</x:v>
      </x:c>
      <x:c r="L341" s="32" t="str">
        <x:v>Frasco 120 ml</x:v>
      </x:c>
      <x:c r="M341" s="28" t="n">
        <x:v>7</x:v>
      </x:c>
      <x:c r="N341" s="28" t="n">
        <x:v>24</x:v>
      </x:c>
      <x:c r="O341" s="28" t="n">
        <x:f>M341*N341</x:f>
        <x:v>168</x:v>
      </x:c>
      <x:c r="P341" s="24" t="n">
        <x:v>3.16</x:v>
      </x:c>
      <x:c r="Q341" s="26" t="n">
        <x:v>0.08344531452663938</x:v>
      </x:c>
      <x:c r="R341" s="24" t="n">
        <x:f>O341*P341*Q341</x:f>
        <x:v>44.29944857590231</x:v>
      </x:c>
      <x:c r="S341" s="24" t="n">
        <x:f>P341*(1-Q341)</x:f>
        <x:v>2.89631280609582</x:v>
      </x:c>
      <x:c r="T341" s="24" t="n">
        <x:f>O341*S341</x:f>
        <x:v>486.58055142409773</x:v>
      </x:c>
      <x:c r="U341" t="str">
        <x:v>SUR</x:v>
      </x:c>
      <x:c r="V341" t="str">
        <x:v>Farmacia del Sur</x:v>
      </x:c>
      <x:c r="W341" t="str">
        <x:v>Zona Sur</x:v>
      </x:c>
      <x:c r="X341" t="str">
        <x:v>Quito</x:v>
      </x:c>
      <x:c r="Y341" s="32" t="str">
        <x:v>Av. Maldonado S25-10</x:v>
      </x:c>
      <x:c r="Z341" s="22" t="n">
        <x:v>46172</x:v>
      </x:c>
      <x:c r="AA341" t="str">
        <x:v>Recibido</x:v>
      </x:c>
      <x:c r="AB341" t="str">
        <x:v>45 días crédito</x:v>
      </x:c>
      <x:c r="AC341" s="32" t="str">
        <x:v>Entrega coordinada fuera de horario regular</x:v>
      </x:c>
    </x:row>
    <x:row r="342">
      <x:c r="A342" t="n">
        <x:v>341</x:v>
      </x:c>
      <x:c r="B342" s="22" t="n">
        <x:v>45818</x:v>
      </x:c>
      <x:c r="C342" t="str">
        <x:v>OC-2025-0341</x:v>
      </x:c>
      <x:c r="D342" t="str">
        <x:v>F-D004-202506-7103</x:v>
      </x:c>
      <x:c r="E342" t="str">
        <x:v>L2506-015-0341</x:v>
      </x:c>
      <x:c r="F342" t="str">
        <x:v>D004</x:v>
      </x:c>
      <x:c r="G342" s="32" t="str">
        <x:v>Distribuidora Salud Total</x:v>
      </x:c>
      <x:c r="H342" t="str">
        <x:v>MED015</x:v>
      </x:c>
      <x:c r="I342" s="32" t="str">
        <x:v>Producto descontinuado</x:v>
      </x:c>
      <x:c r="J342" s="32" t="str">
        <x:v>Vitaminas</x:v>
      </x:c>
      <x:c r="K342" s="32" t="str">
        <x:v>MEDICAMENTA</x:v>
      </x:c>
      <x:c r="L342" s="32" t="str">
        <x:v>Caja x 20</x:v>
      </x:c>
      <x:c r="M342" s="28" t="n">
        <x:v>2</x:v>
      </x:c>
      <x:c r="N342" s="28" t="n">
        <x:v>20</x:v>
      </x:c>
      <x:c r="O342" s="28" t="n">
        <x:f>M342*N342</x:f>
        <x:v>40</x:v>
      </x:c>
      <x:c r="P342" s="24" t="n">
        <x:v>7.13</x:v>
      </x:c>
      <x:c r="Q342" s="26" t="n">
        <x:v>0.1388357145458982</x:v>
      </x:c>
      <x:c r="R342" s="24" t="n">
        <x:f>O342*P342*Q342</x:f>
        <x:v>39.59594578849016</x:v>
      </x:c>
      <x:c r="S342" s="24" t="n">
        <x:f>P342*(1-Q342)</x:f>
        <x:v>6.140101355287746</x:v>
      </x:c>
      <x:c r="T342" s="24" t="n">
        <x:f>O342*S342</x:f>
        <x:v>245.60405421150986</x:v>
      </x:c>
      <x:c r="U342" t="str">
        <x:v>NORTE</x:v>
      </x:c>
      <x:c r="V342" t="str">
        <x:v>Farmacia Norte</x:v>
      </x:c>
      <x:c r="W342" t="str">
        <x:v>Zona Norte</x:v>
      </x:c>
      <x:c r="X342" t="str">
        <x:v>Quito</x:v>
      </x:c>
      <x:c r="Y342" s="32" t="str">
        <x:v>Av. 10 de Agosto N45-20</x:v>
      </x:c>
      <x:c r="Z342" s="22" t="n">
        <x:v>45823</x:v>
      </x:c>
      <x:c r="AA342" t="str">
        <x:v>Recibido</x:v>
      </x:c>
      <x:c r="AB342" t="str">
        <x:v>45 días crédito</x:v>
      </x:c>
      <x:c r="AC342" s="32" t="str">
        <x:v>Compra controlada: producto descontinuado</x:v>
      </x:c>
    </x:row>
    <x:row r="343">
      <x:c r="A343" t="n">
        <x:v>342</x:v>
      </x:c>
      <x:c r="B343" s="22" t="n">
        <x:v>45718</x:v>
      </x:c>
      <x:c r="C343" t="str">
        <x:v>OC-2025-0342</x:v>
      </x:c>
      <x:c r="D343" t="str">
        <x:v>F-D008-202503-5369</x:v>
      </x:c>
      <x:c r="E343" t="str">
        <x:v>L2503-004-0342</x:v>
      </x:c>
      <x:c r="F343" t="str">
        <x:v>D008</x:v>
      </x:c>
      <x:c r="G343" s="32" t="str">
        <x:v>Mayorista MedicPlus</x:v>
      </x:c>
      <x:c r="H343" t="str">
        <x:v>MED004</x:v>
      </x:c>
      <x:c r="I343" s="32" t="str">
        <x:v>Azitromicina 500 mg</x:v>
      </x:c>
      <x:c r="J343" s="32" t="str">
        <x:v>Antibióticos</x:v>
      </x:c>
      <x:c r="K343" s="32" t="str">
        <x:v>Pfizer</x:v>
      </x:c>
      <x:c r="L343" s="32" t="str">
        <x:v>Caja x 3 tabletas</x:v>
      </x:c>
      <x:c r="M343" s="28" t="n">
        <x:v>8</x:v>
      </x:c>
      <x:c r="N343" s="28" t="n">
        <x:v>30</x:v>
      </x:c>
      <x:c r="O343" s="28" t="n">
        <x:f>M343*N343</x:f>
        <x:v>240</x:v>
      </x:c>
      <x:c r="P343" s="24" t="n">
        <x:v>4.95</x:v>
      </x:c>
      <x:c r="Q343" s="26" t="n">
        <x:v>0.11218065193900834</x:v>
      </x:c>
      <x:c r="R343" s="24" t="n">
        <x:f>O343*P343*Q343</x:f>
        <x:v>133.2706145035419</x:v>
      </x:c>
      <x:c r="S343" s="24" t="n">
        <x:f>P343*(1-Q343)</x:f>
        <x:v>4.394705772901909</x:v>
      </x:c>
      <x:c r="T343" s="24" t="n">
        <x:f>O343*S343</x:f>
        <x:v>1054.729385496458</x:v>
      </x:c>
      <x:c r="U343" t="str">
        <x:v>CENTRO</x:v>
      </x:c>
      <x:c r="V343" t="str">
        <x:v>Farmacia Centro Histórico</x:v>
      </x:c>
      <x:c r="W343" t="str">
        <x:v>Zona Centro</x:v>
      </x:c>
      <x:c r="X343" t="str">
        <x:v>Quito</x:v>
      </x:c>
      <x:c r="Y343" s="32" t="str">
        <x:v>Guayaquil y Chile</x:v>
      </x:c>
      <x:c r="Z343" s="22" t="n">
        <x:v>45721</x:v>
      </x:c>
      <x:c r="AA343" t="str">
        <x:v>Recibido</x:v>
      </x:c>
      <x:c r="AB343" t="str">
        <x:v>30 días crédito</x:v>
      </x:c>
      <x:c r="AC343" s="32" t="str"/>
    </x:row>
    <x:row r="344">
      <x:c r="A344" t="n">
        <x:v>343</x:v>
      </x:c>
      <x:c r="B344" s="22" t="n">
        <x:v>46009</x:v>
      </x:c>
      <x:c r="C344" t="str">
        <x:v>OC-2025-0343</x:v>
      </x:c>
      <x:c r="D344" t="str">
        <x:v>F-D006-202512-4126</x:v>
      </x:c>
      <x:c r="E344" t="str">
        <x:v>L2512-010-0343</x:v>
      </x:c>
      <x:c r="F344" t="str">
        <x:v>D006</x:v>
      </x:c>
      <x:c r="G344" s="32" t="str">
        <x:v>Insumos Médicos del Pacífico</x:v>
      </x:c>
      <x:c r="H344" t="str">
        <x:v>MED010</x:v>
      </x:c>
      <x:c r="I344" s="32" t="str">
        <x:v>Aspirina 100 mg</x:v>
      </x:c>
      <x:c r="J344" s="32" t="str">
        <x:v>Cardiovasculares</x:v>
      </x:c>
      <x:c r="K344" s="32" t="str">
        <x:v>Bayer</x:v>
      </x:c>
      <x:c r="L344" s="32" t="str">
        <x:v>Caja x 30 tabletas</x:v>
      </x:c>
      <x:c r="M344" s="28" t="n">
        <x:v>7</x:v>
      </x:c>
      <x:c r="N344" s="28" t="n">
        <x:v>30</x:v>
      </x:c>
      <x:c r="O344" s="28" t="n">
        <x:f>M344*N344</x:f>
        <x:v>210</x:v>
      </x:c>
      <x:c r="P344" s="24" t="n">
        <x:v>1.6</x:v>
      </x:c>
      <x:c r="Q344" s="26" t="n">
        <x:v>0.11385375140554163</x:v>
      </x:c>
      <x:c r="R344" s="24" t="n">
        <x:f>O344*P344*Q344</x:f>
        <x:v>38.25486047226199</x:v>
      </x:c>
      <x:c r="S344" s="24" t="n">
        <x:f>P344*(1-Q344)</x:f>
        <x:v>1.4178339977511334</x:v>
      </x:c>
      <x:c r="T344" s="24" t="n">
        <x:f>O344*S344</x:f>
        <x:v>297.745139527738</x:v>
      </x:c>
      <x:c r="U344" t="str">
        <x:v>NORTE</x:v>
      </x:c>
      <x:c r="V344" t="str">
        <x:v>Farmacia Norte</x:v>
      </x:c>
      <x:c r="W344" t="str">
        <x:v>Zona Norte</x:v>
      </x:c>
      <x:c r="X344" t="str">
        <x:v>Quito</x:v>
      </x:c>
      <x:c r="Y344" s="32" t="str">
        <x:v>Av. 10 de Agosto N45-20</x:v>
      </x:c>
      <x:c r="Z344" s="22" t="n">
        <x:v>46011</x:v>
      </x:c>
      <x:c r="AA344" t="str">
        <x:v>Recibido</x:v>
      </x:c>
      <x:c r="AB344" t="str">
        <x:v>60 días crédito</x:v>
      </x:c>
      <x:c r="AC344" s="32" t="str">
        <x:v>Entrega coordinada fuera de horario regular</x:v>
      </x:c>
    </x:row>
    <x:row r="345">
      <x:c r="A345" t="n">
        <x:v>344</x:v>
      </x:c>
      <x:c r="B345" s="22" t="n">
        <x:v>46168</x:v>
      </x:c>
      <x:c r="C345" t="str">
        <x:v>OC-2026-0344</x:v>
      </x:c>
      <x:c r="D345" t="str">
        <x:v>F-D006-202605-1134</x:v>
      </x:c>
      <x:c r="E345" t="str">
        <x:v>L2605-010-0344</x:v>
      </x:c>
      <x:c r="F345" t="str">
        <x:v>D006</x:v>
      </x:c>
      <x:c r="G345" s="32" t="str">
        <x:v>Insumos Médicos del Pacífico</x:v>
      </x:c>
      <x:c r="H345" t="str">
        <x:v>MED010</x:v>
      </x:c>
      <x:c r="I345" s="32" t="str">
        <x:v>Aspirina 100 mg</x:v>
      </x:c>
      <x:c r="J345" s="32" t="str">
        <x:v>Cardiovasculares</x:v>
      </x:c>
      <x:c r="K345" s="32" t="str">
        <x:v>Bayer</x:v>
      </x:c>
      <x:c r="L345" s="32" t="str">
        <x:v>Caja x 30 tabletas</x:v>
      </x:c>
      <x:c r="M345" s="28" t="n">
        <x:v>36</x:v>
      </x:c>
      <x:c r="N345" s="28" t="n">
        <x:v>10</x:v>
      </x:c>
      <x:c r="O345" s="28" t="n">
        <x:f>M345*N345</x:f>
        <x:v>360</x:v>
      </x:c>
      <x:c r="P345" s="24" t="n">
        <x:v>1.81</x:v>
      </x:c>
      <x:c r="Q345" s="26" t="n">
        <x:v>0.10140323988768715</x:v>
      </x:c>
      <x:c r="R345" s="24" t="n">
        <x:f>O345*P345*Q345</x:f>
        <x:v>66.07435111081695</x:v>
      </x:c>
      <x:c r="S345" s="24" t="n">
        <x:f>P345*(1-Q345)</x:f>
        <x:v>1.6264601358032862</x:v>
      </x:c>
      <x:c r="T345" s="24" t="n">
        <x:f>O345*S345</x:f>
        <x:v>585.525648889183</x:v>
      </x:c>
      <x:c r="U345" t="str">
        <x:v>SUR</x:v>
      </x:c>
      <x:c r="V345" t="str">
        <x:v>Farmacia del Sur</x:v>
      </x:c>
      <x:c r="W345" t="str">
        <x:v>Zona Sur</x:v>
      </x:c>
      <x:c r="X345" t="str">
        <x:v>Quito</x:v>
      </x:c>
      <x:c r="Y345" s="32" t="str">
        <x:v>Av. Maldonado S25-10</x:v>
      </x:c>
      <x:c r="Z345" s="22" t="n">
        <x:v>46169</x:v>
      </x:c>
      <x:c r="AA345" t="str">
        <x:v>Recibido</x:v>
      </x:c>
      <x:c r="AB345" t="str">
        <x:v>60 días crédito</x:v>
      </x:c>
      <x:c r="AC345" s="32" t="str"/>
    </x:row>
    <x:row r="346">
      <x:c r="A346" t="n">
        <x:v>345</x:v>
      </x:c>
      <x:c r="B346" s="22" t="n">
        <x:v>45939</x:v>
      </x:c>
      <x:c r="C346" t="str">
        <x:v>OC-2025-0345</x:v>
      </x:c>
      <x:c r="D346" t="str">
        <x:v>F-D001-202510-1244</x:v>
      </x:c>
      <x:c r="E346" t="str">
        <x:v>L2510-002-0345</x:v>
      </x:c>
      <x:c r="F346" t="str">
        <x:v>D001</x:v>
      </x:c>
      <x:c r="G346" s="32" t="str">
        <x:v>DistriFarma Andina S.A.</x:v>
      </x:c>
      <x:c r="H346" t="str">
        <x:v>MED002</x:v>
      </x:c>
      <x:c r="I346" s="32" t="str">
        <x:v>Ibuprofeno 400 mg</x:v>
      </x:c>
      <x:c r="J346" s="32" t="str">
        <x:v>Analgésicos</x:v>
      </x:c>
      <x:c r="K346" s="32" t="str">
        <x:v>La Santé</x:v>
      </x:c>
      <x:c r="L346" s="32" t="str">
        <x:v>Caja x 20 tabletas</x:v>
      </x:c>
      <x:c r="M346" s="28" t="n">
        <x:v>8</x:v>
      </x:c>
      <x:c r="N346" s="28" t="n">
        <x:v>20</x:v>
      </x:c>
      <x:c r="O346" s="28" t="n">
        <x:f>M346*N346</x:f>
        <x:v>160</x:v>
      </x:c>
      <x:c r="P346" s="24" t="n">
        <x:v>1.14</x:v>
      </x:c>
      <x:c r="Q346" s="26" t="n">
        <x:v>0.07948957077361171</x:v>
      </x:c>
      <x:c r="R346" s="24" t="n">
        <x:f>O346*P346*Q346</x:f>
        <x:v>14.498897709106775</x:v>
      </x:c>
      <x:c r="S346" s="24" t="n">
        <x:f>P346*(1-Q346)</x:f>
        <x:v>1.0493818893180826</x:v>
      </x:c>
      <x:c r="T346" s="24" t="n">
        <x:f>O346*S346</x:f>
        <x:v>167.90110229089322</x:v>
      </x:c>
      <x:c r="U346" t="str">
        <x:v>VALLE</x:v>
      </x:c>
      <x:c r="V346" t="str">
        <x:v>Farmacia Valle de los Chillos</x:v>
      </x:c>
      <x:c r="W346" t="str">
        <x:v>Zona Valle</x:v>
      </x:c>
      <x:c r="X346" t="str">
        <x:v>Sangolquí</x:v>
      </x:c>
      <x:c r="Y346" s="32" t="str">
        <x:v>Av. Calderón 101</x:v>
      </x:c>
      <x:c r="Z346" s="22" t="n">
        <x:v>45941</x:v>
      </x:c>
      <x:c r="AA346" t="str">
        <x:v>Recibido</x:v>
      </x:c>
      <x:c r="AB346" t="str">
        <x:v>30 días crédito</x:v>
      </x:c>
      <x:c r="AC346" s="32" t="str">
        <x:v>Entrega coordinada fuera de horario regular</x:v>
      </x:c>
    </x:row>
    <x:row r="347">
      <x:c r="A347" t="n">
        <x:v>346</x:v>
      </x:c>
      <x:c r="B347" s="22" t="n">
        <x:v>45811</x:v>
      </x:c>
      <x:c r="C347" t="str">
        <x:v>OC-2025-0346</x:v>
      </x:c>
      <x:c r="D347" t="str">
        <x:v>F-D003-202506-7933</x:v>
      </x:c>
      <x:c r="E347" t="str">
        <x:v>L2506-001-0346</x:v>
      </x:c>
      <x:c r="F347" t="str">
        <x:v>D003</x:v>
      </x:c>
      <x:c r="G347" s="32" t="str">
        <x:v>FarmaLogística Sierra</x:v>
      </x:c>
      <x:c r="H347" t="str">
        <x:v>MED001</x:v>
      </x:c>
      <x:c r="I347" s="32" t="str">
        <x:v>Paracetamol 500 mg</x:v>
      </x:c>
      <x:c r="J347" s="32" t="str">
        <x:v>Analgésicos</x:v>
      </x:c>
      <x:c r="K347" s="32" t="str">
        <x:v>Genfar</x:v>
      </x:c>
      <x:c r="L347" s="32" t="str">
        <x:v>Caja x 20 tabletas</x:v>
      </x:c>
      <x:c r="M347" s="28" t="n">
        <x:v>15</x:v>
      </x:c>
      <x:c r="N347" s="28" t="n">
        <x:v>50</x:v>
      </x:c>
      <x:c r="O347" s="28" t="n">
        <x:f>M347*N347</x:f>
        <x:v>750</x:v>
      </x:c>
      <x:c r="P347" s="24" t="n">
        <x:v>0.82</x:v>
      </x:c>
      <x:c r="Q347" s="26" t="n">
        <x:v>0.0665668465878938</x:v>
      </x:c>
      <x:c r="R347" s="24" t="n">
        <x:f>O347*P347*Q347</x:f>
        <x:v>40.93861065155469</x:v>
      </x:c>
      <x:c r="S347" s="24" t="n">
        <x:f>P347*(1-Q347)</x:f>
        <x:v>0.765415185797927</x:v>
      </x:c>
      <x:c r="T347" s="24" t="n">
        <x:f>O347*S347</x:f>
        <x:v>574.0613893484452</x:v>
      </x:c>
      <x:c r="U347" t="str">
        <x:v>CENTRO</x:v>
      </x:c>
      <x:c r="V347" t="str">
        <x:v>Farmacia Centro Histórico</x:v>
      </x:c>
      <x:c r="W347" t="str">
        <x:v>Zona Centro</x:v>
      </x:c>
      <x:c r="X347" t="str">
        <x:v>Quito</x:v>
      </x:c>
      <x:c r="Y347" s="32" t="str">
        <x:v>Guayaquil y Chile</x:v>
      </x:c>
      <x:c r="Z347" s="22" t="n">
        <x:v>45815</x:v>
      </x:c>
      <x:c r="AA347" t="str">
        <x:v>Recibido</x:v>
      </x:c>
      <x:c r="AB347" t="str">
        <x:v>Contado contra entrega</x:v>
      </x:c>
      <x:c r="AC347" s="32" t="str">
        <x:v>Entrega coordinada fuera de horario regular</x:v>
      </x:c>
    </x:row>
    <x:row r="348">
      <x:c r="A348" t="n">
        <x:v>347</x:v>
      </x:c>
      <x:c r="B348" s="22" t="n">
        <x:v>46368</x:v>
      </x:c>
      <x:c r="C348" t="str">
        <x:v>OC-2026-0347</x:v>
      </x:c>
      <x:c r="D348" t="str">
        <x:v>F-D008-202612-5056</x:v>
      </x:c>
      <x:c r="E348" t="str">
        <x:v>L2612-004-0347</x:v>
      </x:c>
      <x:c r="F348" t="str">
        <x:v>D008</x:v>
      </x:c>
      <x:c r="G348" s="32" t="str">
        <x:v>Mayorista MedicPlus</x:v>
      </x:c>
      <x:c r="H348" t="str">
        <x:v>MED004</x:v>
      </x:c>
      <x:c r="I348" s="32" t="str">
        <x:v>Azitromicina 500 mg</x:v>
      </x:c>
      <x:c r="J348" s="32" t="str">
        <x:v>Antibióticos</x:v>
      </x:c>
      <x:c r="K348" s="32" t="str">
        <x:v>Pfizer</x:v>
      </x:c>
      <x:c r="L348" s="32" t="str">
        <x:v>Caja x 3 tabletas</x:v>
      </x:c>
      <x:c r="M348" s="28" t="n">
        <x:v>8</x:v>
      </x:c>
      <x:c r="N348" s="28" t="n">
        <x:v>60</x:v>
      </x:c>
      <x:c r="O348" s="28" t="n">
        <x:f>M348*N348</x:f>
        <x:v>480</x:v>
      </x:c>
      <x:c r="P348" s="24" t="n">
        <x:v>4.73</x:v>
      </x:c>
      <x:c r="Q348" s="26" t="n">
        <x:v>0.10591309845301104</x:v>
      </x:c>
      <x:c r="R348" s="24" t="n">
        <x:f>O348*P348*Q348</x:f>
        <x:v>240.46509872771628</x:v>
      </x:c>
      <x:c r="S348" s="24" t="n">
        <x:f>P348*(1-Q348)</x:f>
        <x:v>4.229031044317258</x:v>
      </x:c>
      <x:c r="T348" s="24" t="n">
        <x:f>O348*S348</x:f>
        <x:v>2029.934901272284</x:v>
      </x:c>
      <x:c r="U348" t="str">
        <x:v>VALLE</x:v>
      </x:c>
      <x:c r="V348" t="str">
        <x:v>Farmacia Valle de los Chillos</x:v>
      </x:c>
      <x:c r="W348" t="str">
        <x:v>Zona Valle</x:v>
      </x:c>
      <x:c r="X348" t="str">
        <x:v>Sangolquí</x:v>
      </x:c>
      <x:c r="Y348" s="32" t="str">
        <x:v>Av. Calderón 101</x:v>
      </x:c>
      <x:c r="Z348" s="22" t="n">
        <x:v>46370</x:v>
      </x:c>
      <x:c r="AA348" t="str">
        <x:v>Recibido</x:v>
      </x:c>
      <x:c r="AB348" t="str">
        <x:v>30 días crédito</x:v>
      </x:c>
      <x:c r="AC348" s="32" t="str"/>
    </x:row>
    <x:row r="349">
      <x:c r="A349" t="n">
        <x:v>348</x:v>
      </x:c>
      <x:c r="B349" s="22" t="n">
        <x:v>45777</x:v>
      </x:c>
      <x:c r="C349" t="str">
        <x:v>OC-2025-0348</x:v>
      </x:c>
      <x:c r="D349" t="str">
        <x:v>F-D007-202504-6251</x:v>
      </x:c>
      <x:c r="E349" t="str">
        <x:v>L2504-003-0348</x:v>
      </x:c>
      <x:c r="F349" t="str">
        <x:v>D007</x:v>
      </x:c>
      <x:c r="G349" s="32" t="str">
        <x:v>Comercializadora BioFarma</x:v>
      </x:c>
      <x:c r="H349" t="str">
        <x:v>MED003</x:v>
      </x:c>
      <x:c r="I349" s="32" t="str">
        <x:v>Amoxicilina 500 mg</x:v>
      </x:c>
      <x:c r="J349" s="32" t="str">
        <x:v>Antibióticos</x:v>
      </x:c>
      <x:c r="K349" s="32" t="str">
        <x:v>Acromax</x:v>
      </x:c>
      <x:c r="L349" s="32" t="str">
        <x:v>Caja x 21 cápsulas</x:v>
      </x:c>
      <x:c r="M349" s="28" t="n">
        <x:v>2</x:v>
      </x:c>
      <x:c r="N349" s="28" t="n">
        <x:v>50</x:v>
      </x:c>
      <x:c r="O349" s="28" t="n">
        <x:f>M349*N349</x:f>
        <x:v>100</x:v>
      </x:c>
      <x:c r="P349" s="24" t="n">
        <x:v>4.3</x:v>
      </x:c>
      <x:c r="Q349" s="26" t="n">
        <x:v>0.08250159391938094</x:v>
      </x:c>
      <x:c r="R349" s="24" t="n">
        <x:f>O349*P349*Q349</x:f>
        <x:v>35.475685385333804</x:v>
      </x:c>
      <x:c r="S349" s="24" t="n">
        <x:f>P349*(1-Q349)</x:f>
        <x:v>3.945243146146662</x:v>
      </x:c>
      <x:c r="T349" s="24" t="n">
        <x:f>O349*S349</x:f>
        <x:v>394.5243146146662</x:v>
      </x:c>
      <x:c r="U349" t="str">
        <x:v>CENTRO</x:v>
      </x:c>
      <x:c r="V349" t="str">
        <x:v>Farmacia Centro Histórico</x:v>
      </x:c>
      <x:c r="W349" t="str">
        <x:v>Zona Centro</x:v>
      </x:c>
      <x:c r="X349" t="str">
        <x:v>Quito</x:v>
      </x:c>
      <x:c r="Y349" s="32" t="str">
        <x:v>Guayaquil y Chile</x:v>
      </x:c>
      <x:c r="Z349" s="22" t="n">
        <x:v>45780</x:v>
      </x:c>
      <x:c r="AA349" t="str">
        <x:v>Recibido</x:v>
      </x:c>
      <x:c r="AB349" t="str">
        <x:v>15 días crédito</x:v>
      </x:c>
      <x:c r="AC349" s="32" t="str">
        <x:v>Entrega coordinada fuera de horario regular</x:v>
      </x:c>
    </x:row>
    <x:row r="350">
      <x:c r="A350" t="n">
        <x:v>349</x:v>
      </x:c>
      <x:c r="B350" s="22" t="n">
        <x:v>45781</x:v>
      </x:c>
      <x:c r="C350" t="str">
        <x:v>OC-2025-0349</x:v>
      </x:c>
      <x:c r="D350" t="str">
        <x:v>F-D008-202505-8277</x:v>
      </x:c>
      <x:c r="E350" t="str">
        <x:v>L2505-009-0349</x:v>
      </x:c>
      <x:c r="F350" t="str">
        <x:v>D008</x:v>
      </x:c>
      <x:c r="G350" s="32" t="str">
        <x:v>Mayorista MedicPlus</x:v>
      </x:c>
      <x:c r="H350" t="str">
        <x:v>MED009</x:v>
      </x:c>
      <x:c r="I350" s="32" t="str">
        <x:v>Losartán 50 mg</x:v>
      </x:c>
      <x:c r="J350" s="32" t="str">
        <x:v>Cardiovasculares</x:v>
      </x:c>
      <x:c r="K350" s="32" t="str">
        <x:v>Laboratorios Bagó</x:v>
      </x:c>
      <x:c r="L350" s="32" t="str">
        <x:v>Caja x 30 tabletas</x:v>
      </x:c>
      <x:c r="M350" s="28" t="n">
        <x:v>3</x:v>
      </x:c>
      <x:c r="N350" s="28" t="n">
        <x:v>50</x:v>
      </x:c>
      <x:c r="O350" s="28" t="n">
        <x:f>M350*N350</x:f>
        <x:v>150</x:v>
      </x:c>
      <x:c r="P350" s="24" t="n">
        <x:v>2.96</x:v>
      </x:c>
      <x:c r="Q350" s="26" t="n">
        <x:v>0.09291356467451582</x:v>
      </x:c>
      <x:c r="R350" s="24" t="n">
        <x:f>O350*P350*Q350</x:f>
        <x:v>41.25362271548502</x:v>
      </x:c>
      <x:c r="S350" s="24" t="n">
        <x:f>P350*(1-Q350)</x:f>
        <x:v>2.684975848563433</x:v>
      </x:c>
      <x:c r="T350" s="24" t="n">
        <x:f>O350*S350</x:f>
        <x:v>402.74637728451495</x:v>
      </x:c>
      <x:c r="U350" t="str">
        <x:v>SUR</x:v>
      </x:c>
      <x:c r="V350" t="str">
        <x:v>Farmacia del Sur</x:v>
      </x:c>
      <x:c r="W350" t="str">
        <x:v>Zona Sur</x:v>
      </x:c>
      <x:c r="X350" t="str">
        <x:v>Quito</x:v>
      </x:c>
      <x:c r="Y350" s="32" t="str">
        <x:v>Av. Maldonado S25-10</x:v>
      </x:c>
      <x:c r="Z350" s="22" t="n">
        <x:v>45785</x:v>
      </x:c>
      <x:c r="AA350" t="str">
        <x:v>Recibido</x:v>
      </x:c>
      <x:c r="AB350" t="str">
        <x:v>30 días crédito</x:v>
      </x:c>
      <x:c r="AC350" s="32" t="str"/>
    </x:row>
    <x:row r="351">
      <x:c r="A351" t="n">
        <x:v>350</x:v>
      </x:c>
      <x:c r="B351" s="22" t="n">
        <x:v>45824</x:v>
      </x:c>
      <x:c r="C351" t="str">
        <x:v>OC-2025-0350</x:v>
      </x:c>
      <x:c r="D351" t="str">
        <x:v>F-D001-202506-4940</x:v>
      </x:c>
      <x:c r="E351" t="str">
        <x:v>L2506-007-0350</x:v>
      </x:c>
      <x:c r="F351" t="str">
        <x:v>D001</x:v>
      </x:c>
      <x:c r="G351" s="32" t="str">
        <x:v>DistriFarma Andina S.A.</x:v>
      </x:c>
      <x:c r="H351" t="str">
        <x:v>MED007</x:v>
      </x:c>
      <x:c r="I351" s="32" t="str">
        <x:v>Omeprazol 20 mg</x:v>
      </x:c>
      <x:c r="J351" s="32" t="str">
        <x:v>Gastrointestinales</x:v>
      </x:c>
      <x:c r="K351" s="32" t="str">
        <x:v>La Santé</x:v>
      </x:c>
      <x:c r="L351" s="32" t="str">
        <x:v>Caja x 30 cápsulas</x:v>
      </x:c>
      <x:c r="M351" s="28" t="n">
        <x:v>12</x:v>
      </x:c>
      <x:c r="N351" s="28" t="n">
        <x:v>30</x:v>
      </x:c>
      <x:c r="O351" s="28" t="n">
        <x:f>M351*N351</x:f>
        <x:v>360</x:v>
      </x:c>
      <x:c r="P351" s="24" t="n">
        <x:v>2.65</x:v>
      </x:c>
      <x:c r="Q351" s="26" t="n">
        <x:v>0.07669782729402841</x:v>
      </x:c>
      <x:c r="R351" s="24" t="n">
        <x:f>O351*P351*Q351</x:f>
        <x:v>73.1697272385031</x:v>
      </x:c>
      <x:c r="S351" s="24" t="n">
        <x:f>P351*(1-Q351)</x:f>
        <x:v>2.4467507576708245</x:v>
      </x:c>
      <x:c r="T351" s="24" t="n">
        <x:f>O351*S351</x:f>
        <x:v>880.8302727614969</x:v>
      </x:c>
      <x:c r="U351" t="str">
        <x:v>CENTRO</x:v>
      </x:c>
      <x:c r="V351" t="str">
        <x:v>Farmacia Centro Histórico</x:v>
      </x:c>
      <x:c r="W351" t="str">
        <x:v>Zona Centro</x:v>
      </x:c>
      <x:c r="X351" t="str">
        <x:v>Quito</x:v>
      </x:c>
      <x:c r="Y351" s="32" t="str">
        <x:v>Guayaquil y Chile</x:v>
      </x:c>
      <x:c r="Z351" s="22" t="n">
        <x:v>45827</x:v>
      </x:c>
      <x:c r="AA351" t="str">
        <x:v>Recibido</x:v>
      </x:c>
      <x:c r="AB351" t="str">
        <x:v>30 días crédito</x:v>
      </x:c>
      <x:c r="AC351" s="32" t="str"/>
    </x:row>
    <x:row r="352">
      <x:c r="A352" t="n">
        <x:v>351</x:v>
      </x:c>
      <x:c r="B352" s="22" t="n">
        <x:v>46232</x:v>
      </x:c>
      <x:c r="C352" t="str">
        <x:v>OC-2026-0351</x:v>
      </x:c>
      <x:c r="D352" t="str">
        <x:v>F-D007-202607-5299</x:v>
      </x:c>
      <x:c r="E352" t="str">
        <x:v>L2607-012-0351</x:v>
      </x:c>
      <x:c r="F352" t="str">
        <x:v>D007</x:v>
      </x:c>
      <x:c r="G352" s="32" t="str">
        <x:v>Comercializadora BioFarma</x:v>
      </x:c>
      <x:c r="H352" t="str">
        <x:v>MED012</x:v>
      </x:c>
      <x:c r="I352" s="32" t="str">
        <x:v>Multivitamínico adulto</x:v>
      </x:c>
      <x:c r="J352" s="32" t="str">
        <x:v>Vitaminas</x:v>
      </x:c>
      <x:c r="K352" s="32" t="str">
        <x:v>Novartis</x:v>
      </x:c>
      <x:c r="L352" s="32" t="str">
        <x:v>Frasco x 30 tabletas</x:v>
      </x:c>
      <x:c r="M352" s="28" t="n">
        <x:v>6</x:v>
      </x:c>
      <x:c r="N352" s="28" t="n">
        <x:v>50</x:v>
      </x:c>
      <x:c r="O352" s="28" t="n">
        <x:f>M352*N352</x:f>
        <x:v>300</x:v>
      </x:c>
      <x:c r="P352" s="24" t="n">
        <x:v>5.13</x:v>
      </x:c>
      <x:c r="Q352" s="26" t="n">
        <x:v>0.04644361116082831</x:v>
      </x:c>
      <x:c r="R352" s="24" t="n">
        <x:f>O352*P352*Q352</x:f>
        <x:v>71.47671757651477</x:v>
      </x:c>
      <x:c r="S352" s="24" t="n">
        <x:f>P352*(1-Q352)</x:f>
        <x:v>4.89174427474495</x:v>
      </x:c>
      <x:c r="T352" s="24" t="n">
        <x:f>O352*S352</x:f>
        <x:v>1467.5232824234852</x:v>
      </x:c>
      <x:c r="U352" t="str">
        <x:v>CENTRO</x:v>
      </x:c>
      <x:c r="V352" t="str">
        <x:v>Farmacia Centro Histórico</x:v>
      </x:c>
      <x:c r="W352" t="str">
        <x:v>Zona Centro</x:v>
      </x:c>
      <x:c r="X352" t="str">
        <x:v>Quito</x:v>
      </x:c>
      <x:c r="Y352" s="32" t="str">
        <x:v>Guayaquil y Chile</x:v>
      </x:c>
      <x:c r="Z352" s="22" t="n">
        <x:v>46233</x:v>
      </x:c>
      <x:c r="AA352" t="str">
        <x:v>Recibido</x:v>
      </x:c>
      <x:c r="AB352" t="str">
        <x:v>15 días crédito</x:v>
      </x:c>
      <x:c r="AC352" s="32" t="str"/>
    </x:row>
    <x:row r="353">
      <x:c r="A353" t="n">
        <x:v>352</x:v>
      </x:c>
      <x:c r="B353" s="22" t="n">
        <x:v>46080</x:v>
      </x:c>
      <x:c r="C353" t="str">
        <x:v>OC-2026-0352</x:v>
      </x:c>
      <x:c r="D353" t="str">
        <x:v>F-D008-202602-5846</x:v>
      </x:c>
      <x:c r="E353" t="str">
        <x:v>L2602-005-0352</x:v>
      </x:c>
      <x:c r="F353" t="str">
        <x:v>D008</x:v>
      </x:c>
      <x:c r="G353" s="32" t="str">
        <x:v>Mayorista MedicPlus</x:v>
      </x:c>
      <x:c r="H353" t="str">
        <x:v>MED005</x:v>
      </x:c>
      <x:c r="I353" s="32" t="str">
        <x:v>Loratadina 10 mg</x:v>
      </x:c>
      <x:c r="J353" s="32" t="str">
        <x:v>Antigripales</x:v>
      </x:c>
      <x:c r="K353" s="32" t="str">
        <x:v>Genfar</x:v>
      </x:c>
      <x:c r="L353" s="32" t="str">
        <x:v>Caja x 10 tabletas</x:v>
      </x:c>
      <x:c r="M353" s="28" t="n">
        <x:v>12</x:v>
      </x:c>
      <x:c r="N353" s="28" t="n">
        <x:v>20</x:v>
      </x:c>
      <x:c r="O353" s="28" t="n">
        <x:f>M353*N353</x:f>
        <x:v>240</x:v>
      </x:c>
      <x:c r="P353" s="24" t="n">
        <x:v>1.12</x:v>
      </x:c>
      <x:c r="Q353" s="26" t="n">
        <x:v>0.11087018511103984</x:v>
      </x:c>
      <x:c r="R353" s="24" t="n">
        <x:f>O353*P353*Q353</x:f>
        <x:v>29.80190575784751</x:v>
      </x:c>
      <x:c r="S353" s="24" t="n">
        <x:f>P353*(1-Q353)</x:f>
        <x:v>0.9958253926756354</x:v>
      </x:c>
      <x:c r="T353" s="24" t="n">
        <x:f>O353*S353</x:f>
        <x:v>238.9980942421525</x:v>
      </x:c>
      <x:c r="U353" t="str">
        <x:v>NORTE</x:v>
      </x:c>
      <x:c r="V353" t="str">
        <x:v>Farmacia Norte</x:v>
      </x:c>
      <x:c r="W353" t="str">
        <x:v>Zona Norte</x:v>
      </x:c>
      <x:c r="X353" t="str">
        <x:v>Quito</x:v>
      </x:c>
      <x:c r="Y353" s="32" t="str">
        <x:v>Av. 10 de Agosto N45-20</x:v>
      </x:c>
      <x:c r="Z353" s="22" t="n">
        <x:v>46085</x:v>
      </x:c>
      <x:c r="AA353" t="str">
        <x:v>Recibido</x:v>
      </x:c>
      <x:c r="AB353" t="str">
        <x:v>30 días crédito</x:v>
      </x:c>
      <x:c r="AC353" s="32" t="str"/>
    </x:row>
    <x:row r="354">
      <x:c r="A354" t="n">
        <x:v>353</x:v>
      </x:c>
      <x:c r="B354" s="22" t="n">
        <x:v>45761</x:v>
      </x:c>
      <x:c r="C354" t="str">
        <x:v>OC-2025-0353</x:v>
      </x:c>
      <x:c r="D354" t="str">
        <x:v>F-D005-202504-7055</x:v>
      </x:c>
      <x:c r="E354" t="str">
        <x:v>L2504-004-0353</x:v>
      </x:c>
      <x:c r="F354" t="str">
        <x:v>D005</x:v>
      </x:c>
      <x:c r="G354" s="32" t="str">
        <x:v>PharmaExpress Quito</x:v>
      </x:c>
      <x:c r="H354" t="str">
        <x:v>MED004</x:v>
      </x:c>
      <x:c r="I354" s="32" t="str">
        <x:v>Azitromicina 500 mg</x:v>
      </x:c>
      <x:c r="J354" s="32" t="str">
        <x:v>Antibióticos</x:v>
      </x:c>
      <x:c r="K354" s="32" t="str">
        <x:v>Pfizer</x:v>
      </x:c>
      <x:c r="L354" s="32" t="str">
        <x:v>Caja x 3 tabletas</x:v>
      </x:c>
      <x:c r="M354" s="28" t="n">
        <x:v>5</x:v>
      </x:c>
      <x:c r="N354" s="28" t="n">
        <x:v>24</x:v>
      </x:c>
      <x:c r="O354" s="28" t="n">
        <x:f>M354*N354</x:f>
        <x:v>120</x:v>
      </x:c>
      <x:c r="P354" s="24" t="n">
        <x:v>4.79</x:v>
      </x:c>
      <x:c r="Q354" s="26" t="n">
        <x:v>0.06645984584440645</x:v>
      </x:c>
      <x:c r="R354" s="24" t="n">
        <x:f>O354*P354*Q354</x:f>
        <x:v>38.20111939136483</x:v>
      </x:c>
      <x:c r="S354" s="24" t="n">
        <x:f>P354*(1-Q354)</x:f>
        <x:v>4.471657338405294</x:v>
      </x:c>
      <x:c r="T354" s="24" t="n">
        <x:f>O354*S354</x:f>
        <x:v>536.5988806086352</x:v>
      </x:c>
      <x:c r="U354" t="str">
        <x:v>CENTRO</x:v>
      </x:c>
      <x:c r="V354" t="str">
        <x:v>Farmacia Centro Histórico</x:v>
      </x:c>
      <x:c r="W354" t="str">
        <x:v>Zona Centro</x:v>
      </x:c>
      <x:c r="X354" t="str">
        <x:v>Quito</x:v>
      </x:c>
      <x:c r="Y354" s="32" t="str">
        <x:v>Guayaquil y Chile</x:v>
      </x:c>
      <x:c r="Z354" s="22" t="n">
        <x:v>45763</x:v>
      </x:c>
      <x:c r="AA354" t="str">
        <x:v>Recibido</x:v>
      </x:c>
      <x:c r="AB354" t="str">
        <x:v>30 días crédito</x:v>
      </x:c>
      <x:c r="AC354" s="32" t="str"/>
    </x:row>
    <x:row r="355">
      <x:c r="A355" t="n">
        <x:v>354</x:v>
      </x:c>
      <x:c r="B355" s="22" t="n">
        <x:v>46174</x:v>
      </x:c>
      <x:c r="C355" t="str">
        <x:v>OC-2026-0354</x:v>
      </x:c>
      <x:c r="D355" t="str">
        <x:v>F-D008-202606-8747</x:v>
      </x:c>
      <x:c r="E355" t="str">
        <x:v>L2606-002-0354</x:v>
      </x:c>
      <x:c r="F355" t="str">
        <x:v>D008</x:v>
      </x:c>
      <x:c r="G355" s="32" t="str">
        <x:v>Mayorista MedicPlus</x:v>
      </x:c>
      <x:c r="H355" t="str">
        <x:v>MED002</x:v>
      </x:c>
      <x:c r="I355" s="32" t="str">
        <x:v>Ibuprofeno 400 mg</x:v>
      </x:c>
      <x:c r="J355" s="32" t="str">
        <x:v>Analgésicos</x:v>
      </x:c>
      <x:c r="K355" s="32" t="str">
        <x:v>La Santé</x:v>
      </x:c>
      <x:c r="L355" s="32" t="str">
        <x:v>Caja x 20 tabletas</x:v>
      </x:c>
      <x:c r="M355" s="28" t="n">
        <x:v>20</x:v>
      </x:c>
      <x:c r="N355" s="28" t="n">
        <x:v>30</x:v>
      </x:c>
      <x:c r="O355" s="28" t="n">
        <x:f>M355*N355</x:f>
        <x:v>600</x:v>
      </x:c>
      <x:c r="P355" s="24" t="n">
        <x:v>1.29</x:v>
      </x:c>
      <x:c r="Q355" s="26" t="n">
        <x:v>0.10555709208397561</x:v>
      </x:c>
      <x:c r="R355" s="24" t="n">
        <x:f>O355*P355*Q355</x:f>
        <x:v>81.70118927299713</x:v>
      </x:c>
      <x:c r="S355" s="24" t="n">
        <x:f>P355*(1-Q355)</x:f>
        <x:v>1.1538313512116716</x:v>
      </x:c>
      <x:c r="T355" s="24" t="n">
        <x:f>O355*S355</x:f>
        <x:v>692.298810727003</x:v>
      </x:c>
      <x:c r="U355" t="str">
        <x:v>NORTE</x:v>
      </x:c>
      <x:c r="V355" t="str">
        <x:v>Farmacia Norte</x:v>
      </x:c>
      <x:c r="W355" t="str">
        <x:v>Zona Norte</x:v>
      </x:c>
      <x:c r="X355" t="str">
        <x:v>Quito</x:v>
      </x:c>
      <x:c r="Y355" s="32" t="str">
        <x:v>Av. 10 de Agosto N45-20</x:v>
      </x:c>
      <x:c r="Z355" s="22" t="n">
        <x:v>46177</x:v>
      </x:c>
      <x:c r="AA355" t="str">
        <x:v>Recibido</x:v>
      </x:c>
      <x:c r="AB355" t="str">
        <x:v>30 días crédito</x:v>
      </x:c>
      <x:c r="AC355" s="32" t="str"/>
    </x:row>
    <x:row r="356">
      <x:c r="A356" t="n">
        <x:v>355</x:v>
      </x:c>
      <x:c r="B356" s="22" t="n">
        <x:v>45794</x:v>
      </x:c>
      <x:c r="C356" t="str">
        <x:v>OC-2025-0355</x:v>
      </x:c>
      <x:c r="D356" t="str">
        <x:v>F-D003-202505-1939</x:v>
      </x:c>
      <x:c r="E356" t="str">
        <x:v>L2505-014-0355</x:v>
      </x:c>
      <x:c r="F356" t="str">
        <x:v>D003</x:v>
      </x:c>
      <x:c r="G356" s="32" t="str">
        <x:v>FarmaLogística Sierra</x:v>
      </x:c>
      <x:c r="H356" t="str">
        <x:v>MED014</x:v>
      </x:c>
      <x:c r="I356" s="32" t="str">
        <x:v>Crema antimicótica</x:v>
      </x:c>
      <x:c r="J356" s="32" t="str">
        <x:v>Dermatológicos</x:v>
      </x:c>
      <x:c r="K356" s="32" t="str">
        <x:v>Acromax</x:v>
      </x:c>
      <x:c r="L356" s="32" t="str">
        <x:v>Tubo 30 g</x:v>
      </x:c>
      <x:c r="M356" s="28" t="n">
        <x:v>60</x:v>
      </x:c>
      <x:c r="N356" s="28" t="n">
        <x:v>10</x:v>
      </x:c>
      <x:c r="O356" s="28" t="n">
        <x:f>M356*N356</x:f>
        <x:v>600</x:v>
      </x:c>
      <x:c r="P356" s="24" t="n">
        <x:v>1.89</x:v>
      </x:c>
      <x:c r="Q356" s="26" t="n">
        <x:v>0.06229294747683135</x:v>
      </x:c>
      <x:c r="R356" s="24" t="n">
        <x:f>O356*P356*Q356</x:f>
        <x:v>70.64020243872675</x:v>
      </x:c>
      <x:c r="S356" s="24" t="n">
        <x:f>P356*(1-Q356)</x:f>
        <x:v>1.7722663292687886</x:v>
      </x:c>
      <x:c r="T356" s="24" t="n">
        <x:f>O356*S356</x:f>
        <x:v>1063.3597975612731</x:v>
      </x:c>
      <x:c r="U356" t="str">
        <x:v>NORTE</x:v>
      </x:c>
      <x:c r="V356" t="str">
        <x:v>Farmacia Norte</x:v>
      </x:c>
      <x:c r="W356" t="str">
        <x:v>Zona Norte</x:v>
      </x:c>
      <x:c r="X356" t="str">
        <x:v>Quito</x:v>
      </x:c>
      <x:c r="Y356" s="32" t="str">
        <x:v>Av. 10 de Agosto N45-20</x:v>
      </x:c>
      <x:c r="Z356" s="22" t="n">
        <x:v>45798</x:v>
      </x:c>
      <x:c r="AA356" t="str">
        <x:v>Recibido</x:v>
      </x:c>
      <x:c r="AB356" t="str">
        <x:v>Contado contra entrega</x:v>
      </x:c>
      <x:c r="AC356" s="32" t="str"/>
    </x:row>
    <x:row r="357">
      <x:c r="A357" t="n">
        <x:v>356</x:v>
      </x:c>
      <x:c r="B357" s="22" t="n">
        <x:v>45932</x:v>
      </x:c>
      <x:c r="C357" t="str">
        <x:v>OC-2025-0356</x:v>
      </x:c>
      <x:c r="D357" t="str">
        <x:v>F-D003-202510-2866</x:v>
      </x:c>
      <x:c r="E357" t="str">
        <x:v>L2510-005-0356</x:v>
      </x:c>
      <x:c r="F357" t="str">
        <x:v>D003</x:v>
      </x:c>
      <x:c r="G357" s="32" t="str">
        <x:v>FarmaLogística Sierra</x:v>
      </x:c>
      <x:c r="H357" t="str">
        <x:v>MED005</x:v>
      </x:c>
      <x:c r="I357" s="32" t="str">
        <x:v>Loratadina 10 mg</x:v>
      </x:c>
      <x:c r="J357" s="32" t="str">
        <x:v>Antigripales</x:v>
      </x:c>
      <x:c r="K357" s="32" t="str">
        <x:v>Genfar</x:v>
      </x:c>
      <x:c r="L357" s="32" t="str">
        <x:v>Caja x 10 tabletas</x:v>
      </x:c>
      <x:c r="M357" s="28" t="n">
        <x:v>5</x:v>
      </x:c>
      <x:c r="N357" s="28" t="n">
        <x:v>50</x:v>
      </x:c>
      <x:c r="O357" s="28" t="n">
        <x:f>M357*N357</x:f>
        <x:v>250</x:v>
      </x:c>
      <x:c r="P357" s="24" t="n">
        <x:v>1.13</x:v>
      </x:c>
      <x:c r="Q357" s="26" t="n">
        <x:v>0.030771150067190337</x:v>
      </x:c>
      <x:c r="R357" s="24" t="n">
        <x:f>O357*P357*Q357</x:f>
        <x:v>8.69284989398127</x:v>
      </x:c>
      <x:c r="S357" s="24" t="n">
        <x:f>P357*(1-Q357)</x:f>
        <x:v>1.0952286004240748</x:v>
      </x:c>
      <x:c r="T357" s="24" t="n">
        <x:f>O357*S357</x:f>
        <x:v>273.8071501060187</x:v>
      </x:c>
      <x:c r="U357" t="str">
        <x:v>SUR</x:v>
      </x:c>
      <x:c r="V357" t="str">
        <x:v>Farmacia del Sur</x:v>
      </x:c>
      <x:c r="W357" t="str">
        <x:v>Zona Sur</x:v>
      </x:c>
      <x:c r="X357" t="str">
        <x:v>Quito</x:v>
      </x:c>
      <x:c r="Y357" s="32" t="str">
        <x:v>Av. Maldonado S25-10</x:v>
      </x:c>
      <x:c r="Z357" s="22" t="n">
        <x:v>45936</x:v>
      </x:c>
      <x:c r="AA357" t="str">
        <x:v>Recibido</x:v>
      </x:c>
      <x:c r="AB357" t="str">
        <x:v>Contado contra entrega</x:v>
      </x:c>
      <x:c r="AC357" s="32" t="str"/>
    </x:row>
    <x:row r="358">
      <x:c r="A358" t="n">
        <x:v>357</x:v>
      </x:c>
      <x:c r="B358" s="22" t="n">
        <x:v>45880</x:v>
      </x:c>
      <x:c r="C358" t="str">
        <x:v>OC-2025-0357</x:v>
      </x:c>
      <x:c r="D358" t="str">
        <x:v>F-D008-202508-6870</x:v>
      </x:c>
      <x:c r="E358" t="str">
        <x:v>L2508-002-0357</x:v>
      </x:c>
      <x:c r="F358" t="str">
        <x:v>D008</x:v>
      </x:c>
      <x:c r="G358" s="32" t="str">
        <x:v>Mayorista MedicPlus</x:v>
      </x:c>
      <x:c r="H358" t="str">
        <x:v>MED002</x:v>
      </x:c>
      <x:c r="I358" s="32" t="str">
        <x:v>Ibuprofeno 400 mg</x:v>
      </x:c>
      <x:c r="J358" s="32" t="str">
        <x:v>Analgésicos</x:v>
      </x:c>
      <x:c r="K358" s="32" t="str">
        <x:v>La Santé</x:v>
      </x:c>
      <x:c r="L358" s="32" t="str">
        <x:v>Caja x 20 tabletas</x:v>
      </x:c>
      <x:c r="M358" s="28" t="n">
        <x:v>4</x:v>
      </x:c>
      <x:c r="N358" s="28" t="n">
        <x:v>24</x:v>
      </x:c>
      <x:c r="O358" s="28" t="n">
        <x:f>M358*N358</x:f>
        <x:v>96</x:v>
      </x:c>
      <x:c r="P358" s="24" t="n">
        <x:v>1.24</x:v>
      </x:c>
      <x:c r="Q358" s="26" t="n">
        <x:v>0.09123433720035848</x:v>
      </x:c>
      <x:c r="R358" s="24" t="n">
        <x:f>O358*P358*Q358</x:f>
        <x:v>10.860535500330673</x:v>
      </x:c>
      <x:c r="S358" s="24" t="n">
        <x:f>P358*(1-Q358)</x:f>
        <x:v>1.1268694218715556</x:v>
      </x:c>
      <x:c r="T358" s="24" t="n">
        <x:f>O358*S358</x:f>
        <x:v>108.17946449966934</x:v>
      </x:c>
      <x:c r="U358" t="str">
        <x:v>CENTRO</x:v>
      </x:c>
      <x:c r="V358" t="str">
        <x:v>Farmacia Centro Histórico</x:v>
      </x:c>
      <x:c r="W358" t="str">
        <x:v>Zona Centro</x:v>
      </x:c>
      <x:c r="X358" t="str">
        <x:v>Quito</x:v>
      </x:c>
      <x:c r="Y358" s="32" t="str">
        <x:v>Guayaquil y Chile</x:v>
      </x:c>
      <x:c r="Z358" s="22" t="n">
        <x:v>45881</x:v>
      </x:c>
      <x:c r="AA358" t="str">
        <x:v>Recibido</x:v>
      </x:c>
      <x:c r="AB358" t="str">
        <x:v>30 días crédito</x:v>
      </x:c>
      <x:c r="AC358" s="32" t="str"/>
    </x:row>
    <x:row r="359">
      <x:c r="A359" t="n">
        <x:v>358</x:v>
      </x:c>
      <x:c r="B359" s="22" t="n">
        <x:v>45843</x:v>
      </x:c>
      <x:c r="C359" t="str">
        <x:v>OC-2025-0358</x:v>
      </x:c>
      <x:c r="D359" t="str">
        <x:v>F-D006-202507-8046</x:v>
      </x:c>
      <x:c r="E359" t="str">
        <x:v>L2507-007-0358</x:v>
      </x:c>
      <x:c r="F359" t="str">
        <x:v>D006</x:v>
      </x:c>
      <x:c r="G359" s="32" t="str">
        <x:v>Insumos Médicos del Pacífico</x:v>
      </x:c>
      <x:c r="H359" t="str">
        <x:v>MED007</x:v>
      </x:c>
      <x:c r="I359" s="32" t="str">
        <x:v>Omeprazol 20 mg</x:v>
      </x:c>
      <x:c r="J359" s="32" t="str">
        <x:v>Gastrointestinales</x:v>
      </x:c>
      <x:c r="K359" s="32" t="str">
        <x:v>La Santé</x:v>
      </x:c>
      <x:c r="L359" s="32" t="str">
        <x:v>Caja x 30 cápsulas</x:v>
      </x:c>
      <x:c r="M359" s="28" t="n">
        <x:v>12</x:v>
      </x:c>
      <x:c r="N359" s="28" t="n">
        <x:v>30</x:v>
      </x:c>
      <x:c r="O359" s="28" t="n">
        <x:f>M359*N359</x:f>
        <x:v>360</x:v>
      </x:c>
      <x:c r="P359" s="24" t="n">
        <x:v>2.58</x:v>
      </x:c>
      <x:c r="Q359" s="26" t="n">
        <x:v>0.121812799126826</x:v>
      </x:c>
      <x:c r="R359" s="24" t="n">
        <x:f>O359*P359*Q359</x:f>
        <x:v>113.13972782899599</x:v>
      </x:c>
      <x:c r="S359" s="24" t="n">
        <x:f>P359*(1-Q359)</x:f>
        <x:v>2.2657229782527892</x:v>
      </x:c>
      <x:c r="T359" s="24" t="n">
        <x:f>O359*S359</x:f>
        <x:v>815.6602721710042</x:v>
      </x:c>
      <x:c r="U359" t="str">
        <x:v>NORTE</x:v>
      </x:c>
      <x:c r="V359" t="str">
        <x:v>Farmacia Norte</x:v>
      </x:c>
      <x:c r="W359" t="str">
        <x:v>Zona Norte</x:v>
      </x:c>
      <x:c r="X359" t="str">
        <x:v>Quito</x:v>
      </x:c>
      <x:c r="Y359" s="32" t="str">
        <x:v>Av. 10 de Agosto N45-20</x:v>
      </x:c>
      <x:c r="Z359" s="22" t="n">
        <x:v>45844</x:v>
      </x:c>
      <x:c r="AA359" t="str">
        <x:v>Recibido</x:v>
      </x:c>
      <x:c r="AB359" t="str">
        <x:v>60 días crédito</x:v>
      </x:c>
      <x:c r="AC359" s="32" t="str">
        <x:v>Entrega coordinada fuera de horario regular</x:v>
      </x:c>
    </x:row>
    <x:row r="360">
      <x:c r="A360" t="n">
        <x:v>359</x:v>
      </x:c>
      <x:c r="B360" s="22" t="n">
        <x:v>46014</x:v>
      </x:c>
      <x:c r="C360" t="str">
        <x:v>OC-2025-0359</x:v>
      </x:c>
      <x:c r="D360" t="str">
        <x:v>F-D001-202512-1911</x:v>
      </x:c>
      <x:c r="E360" t="str">
        <x:v>L2512-015-0359</x:v>
      </x:c>
      <x:c r="F360" t="str">
        <x:v>D001</x:v>
      </x:c>
      <x:c r="G360" s="32" t="str">
        <x:v>DistriFarma Andina S.A.</x:v>
      </x:c>
      <x:c r="H360" t="str">
        <x:v>MED015</x:v>
      </x:c>
      <x:c r="I360" s="32" t="str">
        <x:v>Producto descontinuado</x:v>
      </x:c>
      <x:c r="J360" s="32" t="str">
        <x:v>Vitaminas</x:v>
      </x:c>
      <x:c r="K360" s="32" t="str">
        <x:v>MEDICAMENTA</x:v>
      </x:c>
      <x:c r="L360" s="32" t="str">
        <x:v>Caja x 20</x:v>
      </x:c>
      <x:c r="M360" s="28" t="n">
        <x:v>1</x:v>
      </x:c>
      <x:c r="N360" s="28" t="n">
        <x:v>50</x:v>
      </x:c>
      <x:c r="O360" s="28" t="n">
        <x:f>M360*N360</x:f>
        <x:v>50</x:v>
      </x:c>
      <x:c r="P360" s="24" t="n">
        <x:v>6.65</x:v>
      </x:c>
      <x:c r="Q360" s="26" t="n">
        <x:v>0.08686399933123448</x:v>
      </x:c>
      <x:c r="R360" s="24" t="n">
        <x:f>O360*P360*Q360</x:f>
        <x:v>28.882279777635464</x:v>
      </x:c>
      <x:c r="S360" s="24" t="n">
        <x:f>P360*(1-Q360)</x:f>
        <x:v>6.0723544044472915</x:v>
      </x:c>
      <x:c r="T360" s="24" t="n">
        <x:f>O360*S360</x:f>
        <x:v>303.6177202223646</x:v>
      </x:c>
      <x:c r="U360" t="str">
        <x:v>SUR</x:v>
      </x:c>
      <x:c r="V360" t="str">
        <x:v>Farmacia del Sur</x:v>
      </x:c>
      <x:c r="W360" t="str">
        <x:v>Zona Sur</x:v>
      </x:c>
      <x:c r="X360" t="str">
        <x:v>Quito</x:v>
      </x:c>
      <x:c r="Y360" s="32" t="str">
        <x:v>Av. Maldonado S25-10</x:v>
      </x:c>
      <x:c r="Z360" s="22" t="n">
        <x:v>46016</x:v>
      </x:c>
      <x:c r="AA360" t="str">
        <x:v>Recibido</x:v>
      </x:c>
      <x:c r="AB360" t="str">
        <x:v>30 días crédito</x:v>
      </x:c>
      <x:c r="AC360" s="32" t="str">
        <x:v>Compra controlada: producto descontinuado</x:v>
      </x:c>
    </x:row>
    <x:row r="361">
      <x:c r="A361" t="n">
        <x:v>360</x:v>
      </x:c>
      <x:c r="B361" s="22" t="n">
        <x:v>45889</x:v>
      </x:c>
      <x:c r="C361" t="str">
        <x:v>OC-2025-0360</x:v>
      </x:c>
      <x:c r="D361" t="str">
        <x:v>F-D007-202508-7178</x:v>
      </x:c>
      <x:c r="E361" t="str">
        <x:v>L2508-012-0360</x:v>
      </x:c>
      <x:c r="F361" t="str">
        <x:v>D007</x:v>
      </x:c>
      <x:c r="G361" s="32" t="str">
        <x:v>Comercializadora BioFarma</x:v>
      </x:c>
      <x:c r="H361" t="str">
        <x:v>MED012</x:v>
      </x:c>
      <x:c r="I361" s="32" t="str">
        <x:v>Multivitamínico adulto</x:v>
      </x:c>
      <x:c r="J361" s="32" t="str">
        <x:v>Vitaminas</x:v>
      </x:c>
      <x:c r="K361" s="32" t="str">
        <x:v>Novartis</x:v>
      </x:c>
      <x:c r="L361" s="32" t="str">
        <x:v>Frasco x 30 tabletas</x:v>
      </x:c>
      <x:c r="M361" s="28" t="n">
        <x:v>10</x:v>
      </x:c>
      <x:c r="N361" s="28" t="n">
        <x:v>10</x:v>
      </x:c>
      <x:c r="O361" s="28" t="n">
        <x:f>M361*N361</x:f>
        <x:v>100</x:v>
      </x:c>
      <x:c r="P361" s="24" t="n">
        <x:v>4.43</x:v>
      </x:c>
      <x:c r="Q361" s="26" t="n">
        <x:v>0.06750559807794691</x:v>
      </x:c>
      <x:c r="R361" s="24" t="n">
        <x:f>O361*P361*Q361</x:f>
        <x:v>29.90497994853048</x:v>
      </x:c>
      <x:c r="S361" s="24" t="n">
        <x:f>P361*(1-Q361)</x:f>
        <x:v>4.130950200514695</x:v>
      </x:c>
      <x:c r="T361" s="24" t="n">
        <x:f>O361*S361</x:f>
        <x:v>413.0950200514695</x:v>
      </x:c>
      <x:c r="U361" t="str">
        <x:v>SUR</x:v>
      </x:c>
      <x:c r="V361" t="str">
        <x:v>Farmacia del Sur</x:v>
      </x:c>
      <x:c r="W361" t="str">
        <x:v>Zona Sur</x:v>
      </x:c>
      <x:c r="X361" t="str">
        <x:v>Quito</x:v>
      </x:c>
      <x:c r="Y361" s="32" t="str">
        <x:v>Av. Maldonado S25-10</x:v>
      </x:c>
      <x:c r="Z361" s="22" t="n">
        <x:v>45891</x:v>
      </x:c>
      <x:c r="AA361" t="str">
        <x:v>Recibido</x:v>
      </x:c>
      <x:c r="AB361" t="str">
        <x:v>15 días crédito</x:v>
      </x:c>
      <x:c r="AC361" s="32" t="str"/>
    </x:row>
    <x:row r="362">
      <x:c r="A362" t="n">
        <x:v>361</x:v>
      </x:c>
      <x:c r="B362" s="22" t="n">
        <x:v>45944</x:v>
      </x:c>
      <x:c r="C362" t="str">
        <x:v>OC-2025-0361</x:v>
      </x:c>
      <x:c r="D362" t="str">
        <x:v>F-D008-202510-7890</x:v>
      </x:c>
      <x:c r="E362" t="str">
        <x:v>L2510-001-0361</x:v>
      </x:c>
      <x:c r="F362" t="str">
        <x:v>D008</x:v>
      </x:c>
      <x:c r="G362" s="32" t="str">
        <x:v>Mayorista MedicPlus</x:v>
      </x:c>
      <x:c r="H362" t="str">
        <x:v>MED001</x:v>
      </x:c>
      <x:c r="I362" s="32" t="str">
        <x:v>Paracetamol 500 mg</x:v>
      </x:c>
      <x:c r="J362" s="32" t="str">
        <x:v>Analgésicos</x:v>
      </x:c>
      <x:c r="K362" s="32" t="str">
        <x:v>Genfar</x:v>
      </x:c>
      <x:c r="L362" s="32" t="str">
        <x:v>Caja x 20 tabletas</x:v>
      </x:c>
      <x:c r="M362" s="28" t="n">
        <x:v>36</x:v>
      </x:c>
      <x:c r="N362" s="28" t="n">
        <x:v>20</x:v>
      </x:c>
      <x:c r="O362" s="28" t="n">
        <x:f>M362*N362</x:f>
        <x:v>720</x:v>
      </x:c>
      <x:c r="P362" s="24" t="n">
        <x:v>0.82</x:v>
      </x:c>
      <x:c r="Q362" s="26" t="n">
        <x:v>0.11426815917306014</x:v>
      </x:c>
      <x:c r="R362" s="24" t="n">
        <x:f>O362*P362*Q362</x:f>
        <x:v>67.4639211757747</x:v>
      </x:c>
      <x:c r="S362" s="24" t="n">
        <x:f>P362*(1-Q362)</x:f>
        <x:v>0.7263001094780906</x:v>
      </x:c>
      <x:c r="T362" s="24" t="n">
        <x:f>O362*S362</x:f>
        <x:v>522.9360788242253</x:v>
      </x:c>
      <x:c r="U362" t="str">
        <x:v>NORTE</x:v>
      </x:c>
      <x:c r="V362" t="str">
        <x:v>Farmacia Norte</x:v>
      </x:c>
      <x:c r="W362" t="str">
        <x:v>Zona Norte</x:v>
      </x:c>
      <x:c r="X362" t="str">
        <x:v>Quito</x:v>
      </x:c>
      <x:c r="Y362" s="32" t="str">
        <x:v>Av. 10 de Agosto N45-20</x:v>
      </x:c>
      <x:c r="Z362" s="22" t="n">
        <x:v>45948</x:v>
      </x:c>
      <x:c r="AA362" t="str">
        <x:v>Recibido</x:v>
      </x:c>
      <x:c r="AB362" t="str">
        <x:v>30 días crédito</x:v>
      </x:c>
      <x:c r="AC362" s="32" t="str">
        <x:v>Entrega coordinada fuera de horario regular</x:v>
      </x:c>
    </x:row>
    <x:row r="363">
      <x:c r="A363" t="n">
        <x:v>362</x:v>
      </x:c>
      <x:c r="B363" s="22" t="n">
        <x:v>45944</x:v>
      </x:c>
      <x:c r="C363" t="str">
        <x:v>OC-2025-0362</x:v>
      </x:c>
      <x:c r="D363" t="str">
        <x:v>F-D005-202510-7838</x:v>
      </x:c>
      <x:c r="E363" t="str">
        <x:v>L2510-008-0362</x:v>
      </x:c>
      <x:c r="F363" t="str">
        <x:v>D005</x:v>
      </x:c>
      <x:c r="G363" s="32" t="str">
        <x:v>PharmaExpress Quito</x:v>
      </x:c>
      <x:c r="H363" t="str">
        <x:v>MED008</x:v>
      </x:c>
      <x:c r="I363" s="32" t="str">
        <x:v>Diclofenaco gel</x:v>
      </x:c>
      <x:c r="J363" s="32" t="str">
        <x:v>Dermatológicos</x:v>
      </x:c>
      <x:c r="K363" s="32" t="str">
        <x:v>Bayer</x:v>
      </x:c>
      <x:c r="L363" s="32" t="str">
        <x:v>Tubo 50 g</x:v>
      </x:c>
      <x:c r="M363" s="28" t="n">
        <x:v>4</x:v>
      </x:c>
      <x:c r="N363" s="28" t="n">
        <x:v>30</x:v>
      </x:c>
      <x:c r="O363" s="28" t="n">
        <x:f>M363*N363</x:f>
        <x:v>120</x:v>
      </x:c>
      <x:c r="P363" s="24" t="n">
        <x:v>1.91</x:v>
      </x:c>
      <x:c r="Q363" s="26" t="n">
        <x:v>0.06384029310522438</x:v>
      </x:c>
      <x:c r="R363" s="24" t="n">
        <x:f>O363*P363*Q363</x:f>
        <x:v>14.632195179717426</x:v>
      </x:c>
      <x:c r="S363" s="24" t="n">
        <x:f>P363*(1-Q363)</x:f>
        <x:v>1.7880650401690212</x:v>
      </x:c>
      <x:c r="T363" s="24" t="n">
        <x:f>O363*S363</x:f>
        <x:v>214.56780482028256</x:v>
      </x:c>
      <x:c r="U363" t="str">
        <x:v>CENTRO</x:v>
      </x:c>
      <x:c r="V363" t="str">
        <x:v>Farmacia Centro Histórico</x:v>
      </x:c>
      <x:c r="W363" t="str">
        <x:v>Zona Centro</x:v>
      </x:c>
      <x:c r="X363" t="str">
        <x:v>Quito</x:v>
      </x:c>
      <x:c r="Y363" s="32" t="str">
        <x:v>Guayaquil y Chile</x:v>
      </x:c>
      <x:c r="Z363" s="22" t="n">
        <x:v>45946</x:v>
      </x:c>
      <x:c r="AA363" t="str">
        <x:v>Recibido</x:v>
      </x:c>
      <x:c r="AB363" t="str">
        <x:v>30 días crédito</x:v>
      </x:c>
      <x:c r="AC363" s="32" t="str"/>
    </x:row>
    <x:row r="364">
      <x:c r="A364" t="n">
        <x:v>363</x:v>
      </x:c>
      <x:c r="B364" s="22" t="n">
        <x:v>46203</x:v>
      </x:c>
      <x:c r="C364" t="str">
        <x:v>OC-2026-0363</x:v>
      </x:c>
      <x:c r="D364" t="str">
        <x:v>F-D007-202606-7409</x:v>
      </x:c>
      <x:c r="E364" t="str">
        <x:v>L2606-011-0363</x:v>
      </x:c>
      <x:c r="F364" t="str">
        <x:v>D007</x:v>
      </x:c>
      <x:c r="G364" s="32" t="str">
        <x:v>Comercializadora BioFarma</x:v>
      </x:c>
      <x:c r="H364" t="str">
        <x:v>MED011</x:v>
      </x:c>
      <x:c r="I364" s="32" t="str">
        <x:v>Jarabe antigripal</x:v>
      </x:c>
      <x:c r="J364" s="32" t="str">
        <x:v>Antigripales</x:v>
      </x:c>
      <x:c r="K364" s="32" t="str">
        <x:v>MEDICAMENTA</x:v>
      </x:c>
      <x:c r="L364" s="32" t="str">
        <x:v>Frasco 120 ml</x:v>
      </x:c>
      <x:c r="M364" s="28" t="n">
        <x:v>3</x:v>
      </x:c>
      <x:c r="N364" s="28" t="n">
        <x:v>50</x:v>
      </x:c>
      <x:c r="O364" s="28" t="n">
        <x:f>M364*N364</x:f>
        <x:v>150</x:v>
      </x:c>
      <x:c r="P364" s="24" t="n">
        <x:v>2.85</x:v>
      </x:c>
      <x:c r="Q364" s="26" t="n">
        <x:v>0.07390416004839183</x:v>
      </x:c>
      <x:c r="R364" s="24" t="n">
        <x:f>O364*P364*Q364</x:f>
        <x:v>31.594028420687508</x:v>
      </x:c>
      <x:c r="S364" s="24" t="n">
        <x:f>P364*(1-Q364)</x:f>
        <x:v>2.6393731438620835</x:v>
      </x:c>
      <x:c r="T364" s="24" t="n">
        <x:f>O364*S364</x:f>
        <x:v>395.9059715793125</x:v>
      </x:c>
      <x:c r="U364" t="str">
        <x:v>NORTE</x:v>
      </x:c>
      <x:c r="V364" t="str">
        <x:v>Farmacia Norte</x:v>
      </x:c>
      <x:c r="W364" t="str">
        <x:v>Zona Norte</x:v>
      </x:c>
      <x:c r="X364" t="str">
        <x:v>Quito</x:v>
      </x:c>
      <x:c r="Y364" s="32" t="str">
        <x:v>Av. 10 de Agosto N45-20</x:v>
      </x:c>
      <x:c r="Z364" s="22" t="n">
        <x:v>46204</x:v>
      </x:c>
      <x:c r="AA364" t="str">
        <x:v>Recibido</x:v>
      </x:c>
      <x:c r="AB364" t="str">
        <x:v>15 días crédito</x:v>
      </x:c>
      <x:c r="AC364" s="32" t="str"/>
    </x:row>
    <x:row r="365">
      <x:c r="A365" t="n">
        <x:v>364</x:v>
      </x:c>
      <x:c r="B365" s="22" t="n">
        <x:v>46043</x:v>
      </x:c>
      <x:c r="C365" t="str">
        <x:v>OC-2026-0364</x:v>
      </x:c>
      <x:c r="D365" t="str">
        <x:v>F-D008-202601-5848</x:v>
      </x:c>
      <x:c r="E365" t="str">
        <x:v>L2601-007-0364</x:v>
      </x:c>
      <x:c r="F365" t="str">
        <x:v>D008</x:v>
      </x:c>
      <x:c r="G365" s="32" t="str">
        <x:v>Mayorista MedicPlus</x:v>
      </x:c>
      <x:c r="H365" t="str">
        <x:v>MED007</x:v>
      </x:c>
      <x:c r="I365" s="32" t="str">
        <x:v>Omeprazol 20 mg</x:v>
      </x:c>
      <x:c r="J365" s="32" t="str">
        <x:v>Gastrointestinales</x:v>
      </x:c>
      <x:c r="K365" s="32" t="str">
        <x:v>La Santé</x:v>
      </x:c>
      <x:c r="L365" s="32" t="str">
        <x:v>Caja x 30 cápsulas</x:v>
      </x:c>
      <x:c r="M365" s="28" t="n">
        <x:v>12</x:v>
      </x:c>
      <x:c r="N365" s="28" t="n">
        <x:v>50</x:v>
      </x:c>
      <x:c r="O365" s="28" t="n">
        <x:f>M365*N365</x:f>
        <x:v>600</x:v>
      </x:c>
      <x:c r="P365" s="24" t="n">
        <x:v>2.99</x:v>
      </x:c>
      <x:c r="Q365" s="26" t="n">
        <x:v>0.10512236346602108</x:v>
      </x:c>
      <x:c r="R365" s="24" t="n">
        <x:f>O365*P365*Q365</x:f>
        <x:v>188.58952005804184</x:v>
      </x:c>
      <x:c r="S365" s="24" t="n">
        <x:f>P365*(1-Q365)</x:f>
        <x:v>2.6756841332365973</x:v>
      </x:c>
      <x:c r="T365" s="24" t="n">
        <x:f>O365*S365</x:f>
        <x:v>1605.4104799419583</x:v>
      </x:c>
      <x:c r="U365" t="str">
        <x:v>SUR</x:v>
      </x:c>
      <x:c r="V365" t="str">
        <x:v>Farmacia del Sur</x:v>
      </x:c>
      <x:c r="W365" t="str">
        <x:v>Zona Sur</x:v>
      </x:c>
      <x:c r="X365" t="str">
        <x:v>Quito</x:v>
      </x:c>
      <x:c r="Y365" s="32" t="str">
        <x:v>Av. Maldonado S25-10</x:v>
      </x:c>
      <x:c r="Z365" s="22" t="n">
        <x:v>46044</x:v>
      </x:c>
      <x:c r="AA365" t="str">
        <x:v>Recibido</x:v>
      </x:c>
      <x:c r="AB365" t="str">
        <x:v>30 días crédito</x:v>
      </x:c>
      <x:c r="AC365" s="32" t="str"/>
    </x:row>
    <x:row r="366">
      <x:c r="A366" t="n">
        <x:v>365</x:v>
      </x:c>
      <x:c r="B366" s="22" t="n">
        <x:v>46237</x:v>
      </x:c>
      <x:c r="C366" t="str">
        <x:v>OC-2026-0365</x:v>
      </x:c>
      <x:c r="D366" t="str">
        <x:v>F-D001-202608-1043</x:v>
      </x:c>
      <x:c r="E366" t="str">
        <x:v>L2608-002-0365</x:v>
      </x:c>
      <x:c r="F366" t="str">
        <x:v>D001</x:v>
      </x:c>
      <x:c r="G366" s="32" t="str">
        <x:v>DistriFarma Andina S.A.</x:v>
      </x:c>
      <x:c r="H366" t="str">
        <x:v>MED002</x:v>
      </x:c>
      <x:c r="I366" s="32" t="str">
        <x:v>Ibuprofeno 400 mg</x:v>
      </x:c>
      <x:c r="J366" s="32" t="str">
        <x:v>Analgésicos</x:v>
      </x:c>
      <x:c r="K366" s="32" t="str">
        <x:v>La Santé</x:v>
      </x:c>
      <x:c r="L366" s="32" t="str">
        <x:v>Caja x 20 tabletas</x:v>
      </x:c>
      <x:c r="M366" s="28" t="n">
        <x:v>3</x:v>
      </x:c>
      <x:c r="N366" s="28" t="n">
        <x:v>24</x:v>
      </x:c>
      <x:c r="O366" s="28" t="n">
        <x:f>M366*N366</x:f>
        <x:v>72</x:v>
      </x:c>
      <x:c r="P366" s="24" t="n">
        <x:v>1.36</x:v>
      </x:c>
      <x:c r="Q366" s="26" t="n">
        <x:v>0.09214017870353254</x:v>
      </x:c>
      <x:c r="R366" s="24" t="n">
        <x:f>O366*P366*Q366</x:f>
        <x:v>9.022366298649906</x:v>
      </x:c>
      <x:c r="S366" s="24" t="n">
        <x:f>P366*(1-Q366)</x:f>
        <x:v>1.2346893569631958</x:v>
      </x:c>
      <x:c r="T366" s="24" t="n">
        <x:f>O366*S366</x:f>
        <x:v>88.8976337013501</x:v>
      </x:c>
      <x:c r="U366" t="str">
        <x:v>SUR</x:v>
      </x:c>
      <x:c r="V366" t="str">
        <x:v>Farmacia del Sur</x:v>
      </x:c>
      <x:c r="W366" t="str">
        <x:v>Zona Sur</x:v>
      </x:c>
      <x:c r="X366" t="str">
        <x:v>Quito</x:v>
      </x:c>
      <x:c r="Y366" s="32" t="str">
        <x:v>Av. Maldonado S25-10</x:v>
      </x:c>
      <x:c r="Z366" s="22" t="n">
        <x:v>46238</x:v>
      </x:c>
      <x:c r="AA366" t="str">
        <x:v>Recibido</x:v>
      </x:c>
      <x:c r="AB366" t="str">
        <x:v>30 días crédito</x:v>
      </x:c>
      <x:c r="AC366" s="32" t="str"/>
    </x:row>
    <x:row r="367">
      <x:c r="A367" t="n">
        <x:v>366</x:v>
      </x:c>
      <x:c r="B367" s="22" t="n">
        <x:v>45697</x:v>
      </x:c>
      <x:c r="C367" t="str">
        <x:v>OC-2025-0366</x:v>
      </x:c>
      <x:c r="D367" t="str">
        <x:v>F-D005-202502-7718</x:v>
      </x:c>
      <x:c r="E367" t="str">
        <x:v>L2502-012-0366</x:v>
      </x:c>
      <x:c r="F367" t="str">
        <x:v>D005</x:v>
      </x:c>
      <x:c r="G367" s="32" t="str">
        <x:v>PharmaExpress Quito</x:v>
      </x:c>
      <x:c r="H367" t="str">
        <x:v>MED012</x:v>
      </x:c>
      <x:c r="I367" s="32" t="str">
        <x:v>Multivitamínico adulto</x:v>
      </x:c>
      <x:c r="J367" s="32" t="str">
        <x:v>Vitaminas</x:v>
      </x:c>
      <x:c r="K367" s="32" t="str">
        <x:v>Novartis</x:v>
      </x:c>
      <x:c r="L367" s="32" t="str">
        <x:v>Frasco x 30 tabletas</x:v>
      </x:c>
      <x:c r="M367" s="28" t="n">
        <x:v>15</x:v>
      </x:c>
      <x:c r="N367" s="28" t="n">
        <x:v>10</x:v>
      </x:c>
      <x:c r="O367" s="28" t="n">
        <x:f>M367*N367</x:f>
        <x:v>150</x:v>
      </x:c>
      <x:c r="P367" s="24" t="n">
        <x:v>4.1</x:v>
      </x:c>
      <x:c r="Q367" s="26" t="n">
        <x:v>0.0995966703454658</x:v>
      </x:c>
      <x:c r="R367" s="24" t="n">
        <x:f>O367*P367*Q367</x:f>
        <x:v>61.251952262461465</x:v>
      </x:c>
      <x:c r="S367" s="24" t="n">
        <x:f>P367*(1-Q367)</x:f>
        <x:v>3.69165365158359</x:v>
      </x:c>
      <x:c r="T367" s="24" t="n">
        <x:f>O367*S367</x:f>
        <x:v>553.7480477375385</x:v>
      </x:c>
      <x:c r="U367" t="str">
        <x:v>SUR</x:v>
      </x:c>
      <x:c r="V367" t="str">
        <x:v>Farmacia del Sur</x:v>
      </x:c>
      <x:c r="W367" t="str">
        <x:v>Zona Sur</x:v>
      </x:c>
      <x:c r="X367" t="str">
        <x:v>Quito</x:v>
      </x:c>
      <x:c r="Y367" s="32" t="str">
        <x:v>Av. Maldonado S25-10</x:v>
      </x:c>
      <x:c r="Z367" s="22" t="n">
        <x:v>45699</x:v>
      </x:c>
      <x:c r="AA367" t="str">
        <x:v>Recibido</x:v>
      </x:c>
      <x:c r="AB367" t="str">
        <x:v>30 días crédito</x:v>
      </x:c>
      <x:c r="AC367" s="32" t="str"/>
    </x:row>
    <x:row r="368">
      <x:c r="A368" t="n">
        <x:v>367</x:v>
      </x:c>
      <x:c r="B368" s="22" t="n">
        <x:v>46207</x:v>
      </x:c>
      <x:c r="C368" t="str">
        <x:v>OC-2026-0367</x:v>
      </x:c>
      <x:c r="D368" t="str">
        <x:v>F-D001-202607-6170</x:v>
      </x:c>
      <x:c r="E368" t="str">
        <x:v>L2607-005-0367</x:v>
      </x:c>
      <x:c r="F368" t="str">
        <x:v>D001</x:v>
      </x:c>
      <x:c r="G368" s="32" t="str">
        <x:v>DistriFarma Andina S.A.</x:v>
      </x:c>
      <x:c r="H368" t="str">
        <x:v>MED005</x:v>
      </x:c>
      <x:c r="I368" s="32" t="str">
        <x:v>Loratadina 10 mg</x:v>
      </x:c>
      <x:c r="J368" s="32" t="str">
        <x:v>Antigripales</x:v>
      </x:c>
      <x:c r="K368" s="32" t="str">
        <x:v>Genfar</x:v>
      </x:c>
      <x:c r="L368" s="32" t="str">
        <x:v>Caja x 10 tabletas</x:v>
      </x:c>
      <x:c r="M368" s="28" t="n">
        <x:v>13</x:v>
      </x:c>
      <x:c r="N368" s="28" t="n">
        <x:v>24</x:v>
      </x:c>
      <x:c r="O368" s="28" t="n">
        <x:f>M368*N368</x:f>
        <x:v>312</x:v>
      </x:c>
      <x:c r="P368" s="24" t="n">
        <x:v>1.12</x:v>
      </x:c>
      <x:c r="Q368" s="26" t="n">
        <x:v>0.07804724333018767</x:v>
      </x:c>
      <x:c r="R368" s="24" t="n">
        <x:f>O368*P368*Q368</x:f>
        <x:v>27.272828709300786</x:v>
      </x:c>
      <x:c r="S368" s="24" t="n">
        <x:f>P368*(1-Q368)</x:f>
        <x:v>1.03258708747019</x:v>
      </x:c>
      <x:c r="T368" s="24" t="n">
        <x:f>O368*S368</x:f>
        <x:v>322.16717129069923</x:v>
      </x:c>
      <x:c r="U368" t="str">
        <x:v>NORTE</x:v>
      </x:c>
      <x:c r="V368" t="str">
        <x:v>Farmacia Norte</x:v>
      </x:c>
      <x:c r="W368" t="str">
        <x:v>Zona Norte</x:v>
      </x:c>
      <x:c r="X368" t="str">
        <x:v>Quito</x:v>
      </x:c>
      <x:c r="Y368" s="32" t="str">
        <x:v>Av. 10 de Agosto N45-20</x:v>
      </x:c>
      <x:c r="Z368" s="22" t="n">
        <x:v>46211</x:v>
      </x:c>
      <x:c r="AA368" t="str">
        <x:v>Recibido</x:v>
      </x:c>
      <x:c r="AB368" t="str">
        <x:v>30 días crédito</x:v>
      </x:c>
      <x:c r="AC368" s="32" t="str"/>
    </x:row>
    <x:row r="369">
      <x:c r="A369" t="n">
        <x:v>368</x:v>
      </x:c>
      <x:c r="B369" s="22" t="n">
        <x:v>46205</x:v>
      </x:c>
      <x:c r="C369" t="str">
        <x:v>OC-2026-0368</x:v>
      </x:c>
      <x:c r="D369" t="str">
        <x:v>F-D001-202607-6786</x:v>
      </x:c>
      <x:c r="E369" t="str">
        <x:v>L2607-002-0368</x:v>
      </x:c>
      <x:c r="F369" t="str">
        <x:v>D001</x:v>
      </x:c>
      <x:c r="G369" s="32" t="str">
        <x:v>DistriFarma Andina S.A.</x:v>
      </x:c>
      <x:c r="H369" t="str">
        <x:v>MED002</x:v>
      </x:c>
      <x:c r="I369" s="32" t="str">
        <x:v>Ibuprofeno 400 mg</x:v>
      </x:c>
      <x:c r="J369" s="32" t="str">
        <x:v>Analgésicos</x:v>
      </x:c>
      <x:c r="K369" s="32" t="str">
        <x:v>La Santé</x:v>
      </x:c>
      <x:c r="L369" s="32" t="str">
        <x:v>Caja x 20 tabletas</x:v>
      </x:c>
      <x:c r="M369" s="28" t="n">
        <x:v>6</x:v>
      </x:c>
      <x:c r="N369" s="28" t="n">
        <x:v>60</x:v>
      </x:c>
      <x:c r="O369" s="28" t="n">
        <x:f>M369*N369</x:f>
        <x:v>360</x:v>
      </x:c>
      <x:c r="P369" s="24" t="n">
        <x:v>1.3</x:v>
      </x:c>
      <x:c r="Q369" s="26" t="n">
        <x:v>0.10214896754816453</x:v>
      </x:c>
      <x:c r="R369" s="24" t="n">
        <x:f>O369*P369*Q369</x:f>
        <x:v>47.805716812541</x:v>
      </x:c>
      <x:c r="S369" s="24" t="n">
        <x:f>P369*(1-Q369)</x:f>
        <x:v>1.1672063421873862</x:v>
      </x:c>
      <x:c r="T369" s="24" t="n">
        <x:f>O369*S369</x:f>
        <x:v>420.194283187459</x:v>
      </x:c>
      <x:c r="U369" t="str">
        <x:v>CENTRO</x:v>
      </x:c>
      <x:c r="V369" t="str">
        <x:v>Farmacia Centro Histórico</x:v>
      </x:c>
      <x:c r="W369" t="str">
        <x:v>Zona Centro</x:v>
      </x:c>
      <x:c r="X369" t="str">
        <x:v>Quito</x:v>
      </x:c>
      <x:c r="Y369" s="32" t="str">
        <x:v>Guayaquil y Chile</x:v>
      </x:c>
      <x:c r="Z369" s="22" t="n">
        <x:v>46208</x:v>
      </x:c>
      <x:c r="AA369" t="str">
        <x:v>Recibido</x:v>
      </x:c>
      <x:c r="AB369" t="str">
        <x:v>30 días crédito</x:v>
      </x:c>
      <x:c r="AC369" s="32" t="str">
        <x:v>Entrega coordinada fuera de horario regular</x:v>
      </x:c>
    </x:row>
    <x:row r="370">
      <x:c r="A370" t="n">
        <x:v>369</x:v>
      </x:c>
      <x:c r="B370" s="22" t="n">
        <x:v>45941</x:v>
      </x:c>
      <x:c r="C370" t="str">
        <x:v>OC-2025-0369</x:v>
      </x:c>
      <x:c r="D370" t="str">
        <x:v>F-D008-202510-1571</x:v>
      </x:c>
      <x:c r="E370" t="str">
        <x:v>L2510-013-0369</x:v>
      </x:c>
      <x:c r="F370" t="str">
        <x:v>D008</x:v>
      </x:c>
      <x:c r="G370" s="32" t="str">
        <x:v>Mayorista MedicPlus</x:v>
      </x:c>
      <x:c r="H370" t="str">
        <x:v>MED013</x:v>
      </x:c>
      <x:c r="I370" s="32" t="str">
        <x:v>Probióticos</x:v>
      </x:c>
      <x:c r="J370" s="32" t="str">
        <x:v>Gastrointestinales</x:v>
      </x:c>
      <x:c r="K370" s="32" t="str">
        <x:v>Laboratorios Bagó</x:v>
      </x:c>
      <x:c r="L370" s="32" t="str">
        <x:v>Caja x 10 sobres</x:v>
      </x:c>
      <x:c r="M370" s="28" t="n">
        <x:v>6</x:v>
      </x:c>
      <x:c r="N370" s="28" t="n">
        <x:v>60</x:v>
      </x:c>
      <x:c r="O370" s="28" t="n">
        <x:f>M370*N370</x:f>
        <x:v>360</x:v>
      </x:c>
      <x:c r="P370" s="24" t="n">
        <x:v>5.51</x:v>
      </x:c>
      <x:c r="Q370" s="26" t="n">
        <x:v>0.08986250114175921</x:v>
      </x:c>
      <x:c r="R370" s="24" t="n">
        <x:f>O370*P370*Q370</x:f>
        <x:v>178.25125726479357</x:v>
      </x:c>
      <x:c r="S370" s="24" t="n">
        <x:f>P370*(1-Q370)</x:f>
        <x:v>5.0148576187089065</x:v>
      </x:c>
      <x:c r="T370" s="24" t="n">
        <x:f>O370*S370</x:f>
        <x:v>1805.3487427352063</x:v>
      </x:c>
      <x:c r="U370" t="str">
        <x:v>CENTRO</x:v>
      </x:c>
      <x:c r="V370" t="str">
        <x:v>Farmacia Centro Histórico</x:v>
      </x:c>
      <x:c r="W370" t="str">
        <x:v>Zona Centro</x:v>
      </x:c>
      <x:c r="X370" t="str">
        <x:v>Quito</x:v>
      </x:c>
      <x:c r="Y370" s="32" t="str">
        <x:v>Guayaquil y Chile</x:v>
      </x:c>
      <x:c r="Z370" s="22" t="n">
        <x:v>45943</x:v>
      </x:c>
      <x:c r="AA370" t="str">
        <x:v>Recibido</x:v>
      </x:c>
      <x:c r="AB370" t="str">
        <x:v>30 días crédito</x:v>
      </x:c>
      <x:c r="AC370" s="32" t="str"/>
    </x:row>
    <x:row r="371">
      <x:c r="A371" t="n">
        <x:v>370</x:v>
      </x:c>
      <x:c r="B371" s="22" t="n">
        <x:v>45783</x:v>
      </x:c>
      <x:c r="C371" t="str">
        <x:v>OC-2025-0370</x:v>
      </x:c>
      <x:c r="D371" t="str">
        <x:v>F-D005-202505-9595</x:v>
      </x:c>
      <x:c r="E371" t="str">
        <x:v>L2505-010-0370</x:v>
      </x:c>
      <x:c r="F371" t="str">
        <x:v>D005</x:v>
      </x:c>
      <x:c r="G371" s="32" t="str">
        <x:v>PharmaExpress Quito</x:v>
      </x:c>
      <x:c r="H371" t="str">
        <x:v>MED010</x:v>
      </x:c>
      <x:c r="I371" s="32" t="str">
        <x:v>Aspirina 100 mg</x:v>
      </x:c>
      <x:c r="J371" s="32" t="str">
        <x:v>Cardiovasculares</x:v>
      </x:c>
      <x:c r="K371" s="32" t="str">
        <x:v>Bayer</x:v>
      </x:c>
      <x:c r="L371" s="32" t="str">
        <x:v>Caja x 30 tabletas</x:v>
      </x:c>
      <x:c r="M371" s="28" t="n">
        <x:v>10</x:v>
      </x:c>
      <x:c r="N371" s="28" t="n">
        <x:v>10</x:v>
      </x:c>
      <x:c r="O371" s="28" t="n">
        <x:f>M371*N371</x:f>
        <x:v>100</x:v>
      </x:c>
      <x:c r="P371" s="24" t="n">
        <x:v>1.57</x:v>
      </x:c>
      <x:c r="Q371" s="26" t="n">
        <x:v>0.07195539932071048</x:v>
      </x:c>
      <x:c r="R371" s="24" t="n">
        <x:f>O371*P371*Q371</x:f>
        <x:v>11.296997693351544</x:v>
      </x:c>
      <x:c r="S371" s="24" t="n">
        <x:f>P371*(1-Q371)</x:f>
        <x:v>1.4570300230664845</x:v>
      </x:c>
      <x:c r="T371" s="24" t="n">
        <x:f>O371*S371</x:f>
        <x:v>145.70300230664844</x:v>
      </x:c>
      <x:c r="U371" t="str">
        <x:v>SUR</x:v>
      </x:c>
      <x:c r="V371" t="str">
        <x:v>Farmacia del Sur</x:v>
      </x:c>
      <x:c r="W371" t="str">
        <x:v>Zona Sur</x:v>
      </x:c>
      <x:c r="X371" t="str">
        <x:v>Quito</x:v>
      </x:c>
      <x:c r="Y371" s="32" t="str">
        <x:v>Av. Maldonado S25-10</x:v>
      </x:c>
      <x:c r="Z371" s="22" t="n">
        <x:v>45784</x:v>
      </x:c>
      <x:c r="AA371" t="str">
        <x:v>Recibido</x:v>
      </x:c>
      <x:c r="AB371" t="str">
        <x:v>30 días crédito</x:v>
      </x:c>
      <x:c r="AC371" s="32" t="str"/>
    </x:row>
    <x:row r="372">
      <x:c r="A372" t="n">
        <x:v>371</x:v>
      </x:c>
      <x:c r="B372" s="22" t="n">
        <x:v>46235</x:v>
      </x:c>
      <x:c r="C372" t="str">
        <x:v>OC-2026-0371</x:v>
      </x:c>
      <x:c r="D372" t="str">
        <x:v>F-D001-202608-3238</x:v>
      </x:c>
      <x:c r="E372" t="str">
        <x:v>L2608-011-0371</x:v>
      </x:c>
      <x:c r="F372" t="str">
        <x:v>D001</x:v>
      </x:c>
      <x:c r="G372" s="32" t="str">
        <x:v>DistriFarma Andina S.A.</x:v>
      </x:c>
      <x:c r="H372" t="str">
        <x:v>MED011</x:v>
      </x:c>
      <x:c r="I372" s="32" t="str">
        <x:v>Jarabe antigripal</x:v>
      </x:c>
      <x:c r="J372" s="32" t="str">
        <x:v>Antigripales</x:v>
      </x:c>
      <x:c r="K372" s="32" t="str">
        <x:v>MEDICAMENTA</x:v>
      </x:c>
      <x:c r="L372" s="32" t="str">
        <x:v>Frasco 120 ml</x:v>
      </x:c>
      <x:c r="M372" s="28" t="n">
        <x:v>3</x:v>
      </x:c>
      <x:c r="N372" s="28" t="n">
        <x:v>60</x:v>
      </x:c>
      <x:c r="O372" s="28" t="n">
        <x:f>M372*N372</x:f>
        <x:v>180</x:v>
      </x:c>
      <x:c r="P372" s="24" t="n">
        <x:v>2.73</x:v>
      </x:c>
      <x:c r="Q372" s="26" t="n">
        <x:v>0.08157643876202318</x:v>
      </x:c>
      <x:c r="R372" s="24" t="n">
        <x:f>O372*P372*Q372</x:f>
        <x:v>40.08666200765819</x:v>
      </x:c>
      <x:c r="S372" s="24" t="n">
        <x:f>P372*(1-Q372)</x:f>
        <x:v>2.507296322179677</x:v>
      </x:c>
      <x:c r="T372" s="24" t="n">
        <x:f>O372*S372</x:f>
        <x:v>451.31333799234187</x:v>
      </x:c>
      <x:c r="U372" t="str">
        <x:v>VALLE</x:v>
      </x:c>
      <x:c r="V372" t="str">
        <x:v>Farmacia Valle de los Chillos</x:v>
      </x:c>
      <x:c r="W372" t="str">
        <x:v>Zona Valle</x:v>
      </x:c>
      <x:c r="X372" t="str">
        <x:v>Sangolquí</x:v>
      </x:c>
      <x:c r="Y372" s="32" t="str">
        <x:v>Av. Calderón 101</x:v>
      </x:c>
      <x:c r="Z372" s="22" t="n">
        <x:v>46238</x:v>
      </x:c>
      <x:c r="AA372" t="str">
        <x:v>Recibido</x:v>
      </x:c>
      <x:c r="AB372" t="str">
        <x:v>30 días crédito</x:v>
      </x:c>
      <x:c r="AC372" s="32" t="str"/>
    </x:row>
    <x:row r="373">
      <x:c r="A373" t="n">
        <x:v>372</x:v>
      </x:c>
      <x:c r="B373" s="22" t="n">
        <x:v>46271</x:v>
      </x:c>
      <x:c r="C373" t="str">
        <x:v>OC-2026-0372</x:v>
      </x:c>
      <x:c r="D373" t="str">
        <x:v>F-D006-202609-1027</x:v>
      </x:c>
      <x:c r="E373" t="str">
        <x:v>L2609-009-0372</x:v>
      </x:c>
      <x:c r="F373" t="str">
        <x:v>D006</x:v>
      </x:c>
      <x:c r="G373" s="32" t="str">
        <x:v>Insumos Médicos del Pacífico</x:v>
      </x:c>
      <x:c r="H373" t="str">
        <x:v>MED009</x:v>
      </x:c>
      <x:c r="I373" s="32" t="str">
        <x:v>Losartán 50 mg</x:v>
      </x:c>
      <x:c r="J373" s="32" t="str">
        <x:v>Cardiovasculares</x:v>
      </x:c>
      <x:c r="K373" s="32" t="str">
        <x:v>Laboratorios Bagó</x:v>
      </x:c>
      <x:c r="L373" s="32" t="str">
        <x:v>Caja x 30 tabletas</x:v>
      </x:c>
      <x:c r="M373" s="28" t="n">
        <x:v>3</x:v>
      </x:c>
      <x:c r="N373" s="28" t="n">
        <x:v>60</x:v>
      </x:c>
      <x:c r="O373" s="28" t="n">
        <x:f>M373*N373</x:f>
        <x:v>180</x:v>
      </x:c>
      <x:c r="P373" s="24" t="n">
        <x:v>2.93</x:v>
      </x:c>
      <x:c r="Q373" s="26" t="n">
        <x:v>0.11836205748640194</x:v>
      </x:c>
      <x:c r="R373" s="24" t="n">
        <x:f>O373*P373*Q373</x:f>
        <x:v>62.42414911832838</x:v>
      </x:c>
      <x:c r="S373" s="24" t="n">
        <x:f>P373*(1-Q373)</x:f>
        <x:v>2.5831991715648424</x:v>
      </x:c>
      <x:c r="T373" s="24" t="n">
        <x:f>O373*S373</x:f>
        <x:v>464.97585088167165</x:v>
      </x:c>
      <x:c r="U373" t="str">
        <x:v>CENTRO</x:v>
      </x:c>
      <x:c r="V373" t="str">
        <x:v>Farmacia Centro Histórico</x:v>
      </x:c>
      <x:c r="W373" t="str">
        <x:v>Zona Centro</x:v>
      </x:c>
      <x:c r="X373" t="str">
        <x:v>Quito</x:v>
      </x:c>
      <x:c r="Y373" s="32" t="str">
        <x:v>Guayaquil y Chile</x:v>
      </x:c>
      <x:c r="Z373" s="22" t="n">
        <x:v>46274</x:v>
      </x:c>
      <x:c r="AA373" t="str">
        <x:v>Recibido</x:v>
      </x:c>
      <x:c r="AB373" t="str">
        <x:v>60 días crédito</x:v>
      </x:c>
      <x:c r="AC373" s="32" t="str"/>
    </x:row>
    <x:row r="374">
      <x:c r="A374" t="n">
        <x:v>373</x:v>
      </x:c>
      <x:c r="B374" s="22" t="n">
        <x:v>46125</x:v>
      </x:c>
      <x:c r="C374" t="str">
        <x:v>OC-2026-0373</x:v>
      </x:c>
      <x:c r="D374" t="str">
        <x:v>F-D003-202604-9484</x:v>
      </x:c>
      <x:c r="E374" t="str">
        <x:v>L2604-007-0373</x:v>
      </x:c>
      <x:c r="F374" t="str">
        <x:v>D003</x:v>
      </x:c>
      <x:c r="G374" s="32" t="str">
        <x:v>FarmaLogística Sierra</x:v>
      </x:c>
      <x:c r="H374" t="str">
        <x:v>MED007</x:v>
      </x:c>
      <x:c r="I374" s="32" t="str">
        <x:v>Omeprazol 20 mg</x:v>
      </x:c>
      <x:c r="J374" s="32" t="str">
        <x:v>Gastrointestinales</x:v>
      </x:c>
      <x:c r="K374" s="32" t="str">
        <x:v>La Santé</x:v>
      </x:c>
      <x:c r="L374" s="32" t="str">
        <x:v>Caja x 30 cápsulas</x:v>
      </x:c>
      <x:c r="M374" s="28" t="n">
        <x:v>30</x:v>
      </x:c>
      <x:c r="N374" s="28" t="n">
        <x:v>10</x:v>
      </x:c>
      <x:c r="O374" s="28" t="n">
        <x:f>M374*N374</x:f>
        <x:v>300</x:v>
      </x:c>
      <x:c r="P374" s="24" t="n">
        <x:v>2.84</x:v>
      </x:c>
      <x:c r="Q374" s="26" t="n">
        <x:v>0.04170562451529297</x:v>
      </x:c>
      <x:c r="R374" s="24" t="n">
        <x:f>O374*P374*Q374</x:f>
        <x:v>35.53319208702961</x:v>
      </x:c>
      <x:c r="S374" s="24" t="n">
        <x:f>P374*(1-Q374)</x:f>
        <x:v>2.721556026376568</x:v>
      </x:c>
      <x:c r="T374" s="24" t="n">
        <x:f>O374*S374</x:f>
        <x:v>816.4668079129705</x:v>
      </x:c>
      <x:c r="U374" t="str">
        <x:v>CENTRO</x:v>
      </x:c>
      <x:c r="V374" t="str">
        <x:v>Farmacia Centro Histórico</x:v>
      </x:c>
      <x:c r="W374" t="str">
        <x:v>Zona Centro</x:v>
      </x:c>
      <x:c r="X374" t="str">
        <x:v>Quito</x:v>
      </x:c>
      <x:c r="Y374" s="32" t="str">
        <x:v>Guayaquil y Chile</x:v>
      </x:c>
      <x:c r="Z374" s="22" t="n">
        <x:v>46126</x:v>
      </x:c>
      <x:c r="AA374" t="str">
        <x:v>Recibido</x:v>
      </x:c>
      <x:c r="AB374" t="str">
        <x:v>Contado contra entrega</x:v>
      </x:c>
      <x:c r="AC374" s="32" t="str"/>
    </x:row>
    <x:row r="375">
      <x:c r="A375" t="n">
        <x:v>374</x:v>
      </x:c>
      <x:c r="B375" s="22" t="n">
        <x:v>45855</x:v>
      </x:c>
      <x:c r="C375" t="str">
        <x:v>OC-2025-0374</x:v>
      </x:c>
      <x:c r="D375" t="str">
        <x:v>F-D007-202507-5733</x:v>
      </x:c>
      <x:c r="E375" t="str">
        <x:v>L2507-014-0374</x:v>
      </x:c>
      <x:c r="F375" t="str">
        <x:v>D007</x:v>
      </x:c>
      <x:c r="G375" s="32" t="str">
        <x:v>Comercializadora BioFarma</x:v>
      </x:c>
      <x:c r="H375" t="str">
        <x:v>MED014</x:v>
      </x:c>
      <x:c r="I375" s="32" t="str">
        <x:v>Crema antimicótica</x:v>
      </x:c>
      <x:c r="J375" s="32" t="str">
        <x:v>Dermatológicos</x:v>
      </x:c>
      <x:c r="K375" s="32" t="str">
        <x:v>Acromax</x:v>
      </x:c>
      <x:c r="L375" s="32" t="str">
        <x:v>Tubo 30 g</x:v>
      </x:c>
      <x:c r="M375" s="28" t="n">
        <x:v>8</x:v>
      </x:c>
      <x:c r="N375" s="28" t="n">
        <x:v>60</x:v>
      </x:c>
      <x:c r="O375" s="28" t="n">
        <x:f>M375*N375</x:f>
        <x:v>480</x:v>
      </x:c>
      <x:c r="P375" s="24" t="n">
        <x:v>2.21</x:v>
      </x:c>
      <x:c r="Q375" s="26" t="n">
        <x:v>0.048106435482795876</x:v>
      </x:c>
      <x:c r="R375" s="24" t="n">
        <x:f>O375*P375*Q375</x:f>
        <x:v>51.03130676014986</x:v>
      </x:c>
      <x:c r="S375" s="24" t="n">
        <x:f>P375*(1-Q375)</x:f>
        <x:v>2.103684777583021</x:v>
      </x:c>
      <x:c r="T375" s="24" t="n">
        <x:f>O375*S375</x:f>
        <x:v>1009.7686932398501</x:v>
      </x:c>
      <x:c r="U375" t="str">
        <x:v>CENTRO</x:v>
      </x:c>
      <x:c r="V375" t="str">
        <x:v>Farmacia Centro Histórico</x:v>
      </x:c>
      <x:c r="W375" t="str">
        <x:v>Zona Centro</x:v>
      </x:c>
      <x:c r="X375" t="str">
        <x:v>Quito</x:v>
      </x:c>
      <x:c r="Y375" s="32" t="str">
        <x:v>Guayaquil y Chile</x:v>
      </x:c>
      <x:c r="Z375" s="22" t="n">
        <x:v>45857</x:v>
      </x:c>
      <x:c r="AA375" t="str">
        <x:v>Recibido</x:v>
      </x:c>
      <x:c r="AB375" t="str">
        <x:v>15 días crédito</x:v>
      </x:c>
      <x:c r="AC375" s="32" t="str">
        <x:v>Entrega coordinada fuera de horario regular</x:v>
      </x:c>
    </x:row>
    <x:row r="376">
      <x:c r="A376" t="n">
        <x:v>375</x:v>
      </x:c>
      <x:c r="B376" s="22" t="n">
        <x:v>46252</x:v>
      </x:c>
      <x:c r="C376" t="str">
        <x:v>OC-2026-0375</x:v>
      </x:c>
      <x:c r="D376" t="str">
        <x:v>F-D008-202608-5839</x:v>
      </x:c>
      <x:c r="E376" t="str">
        <x:v>L2608-009-0375</x:v>
      </x:c>
      <x:c r="F376" t="str">
        <x:v>D008</x:v>
      </x:c>
      <x:c r="G376" s="32" t="str">
        <x:v>Mayorista MedicPlus</x:v>
      </x:c>
      <x:c r="H376" t="str">
        <x:v>MED009</x:v>
      </x:c>
      <x:c r="I376" s="32" t="str">
        <x:v>Losartán 50 mg</x:v>
      </x:c>
      <x:c r="J376" s="32" t="str">
        <x:v>Cardiovasculares</x:v>
      </x:c>
      <x:c r="K376" s="32" t="str">
        <x:v>Laboratorios Bagó</x:v>
      </x:c>
      <x:c r="L376" s="32" t="str">
        <x:v>Caja x 30 tabletas</x:v>
      </x:c>
      <x:c r="M376" s="28" t="n">
        <x:v>3</x:v>
      </x:c>
      <x:c r="N376" s="28" t="n">
        <x:v>20</x:v>
      </x:c>
      <x:c r="O376" s="28" t="n">
        <x:f>M376*N376</x:f>
        <x:v>60</x:v>
      </x:c>
      <x:c r="P376" s="24" t="n">
        <x:v>3.31</x:v>
      </x:c>
      <x:c r="Q376" s="26" t="n">
        <x:v>0.06643276667676085</x:v>
      </x:c>
      <x:c r="R376" s="24" t="n">
        <x:f>O376*P376*Q376</x:f>
        <x:v>13.193547462004704</x:v>
      </x:c>
      <x:c r="S376" s="24" t="n">
        <x:f>P376*(1-Q376)</x:f>
        <x:v>3.090107542299922</x:v>
      </x:c>
      <x:c r="T376" s="24" t="n">
        <x:f>O376*S376</x:f>
        <x:v>185.40645253799534</x:v>
      </x:c>
      <x:c r="U376" t="str">
        <x:v>NORTE</x:v>
      </x:c>
      <x:c r="V376" t="str">
        <x:v>Farmacia Norte</x:v>
      </x:c>
      <x:c r="W376" t="str">
        <x:v>Zona Norte</x:v>
      </x:c>
      <x:c r="X376" t="str">
        <x:v>Quito</x:v>
      </x:c>
      <x:c r="Y376" s="32" t="str">
        <x:v>Av. 10 de Agosto N45-20</x:v>
      </x:c>
      <x:c r="Z376" s="22" t="n">
        <x:v>46254</x:v>
      </x:c>
      <x:c r="AA376" t="str">
        <x:v>Recibido</x:v>
      </x:c>
      <x:c r="AB376" t="str">
        <x:v>30 días crédito</x:v>
      </x:c>
      <x:c r="AC376" s="32" t="str"/>
    </x:row>
    <x:row r="377">
      <x:c r="A377" t="n">
        <x:v>376</x:v>
      </x:c>
      <x:c r="B377" s="22" t="n">
        <x:v>46164</x:v>
      </x:c>
      <x:c r="C377" t="str">
        <x:v>OC-2026-0376</x:v>
      </x:c>
      <x:c r="D377" t="str">
        <x:v>F-D002-202605-4179</x:v>
      </x:c>
      <x:c r="E377" t="str">
        <x:v>L2605-006-0376</x:v>
      </x:c>
      <x:c r="F377" t="str">
        <x:v>D002</x:v>
      </x:c>
      <x:c r="G377" s="32" t="str">
        <x:v>MedSupply Ecuador Cía. Ltda.</x:v>
      </x:c>
      <x:c r="H377" t="str">
        <x:v>MED006</x:v>
      </x:c>
      <x:c r="I377" s="32" t="str">
        <x:v>Vitamina C 1 g</x:v>
      </x:c>
      <x:c r="J377" s="32" t="str">
        <x:v>Vitaminas</x:v>
      </x:c>
      <x:c r="K377" s="32" t="str">
        <x:v>Novartis</x:v>
      </x:c>
      <x:c r="L377" s="32" t="str">
        <x:v>Tubo x 10 efervescentes</x:v>
      </x:c>
      <x:c r="M377" s="28" t="n">
        <x:v>20</x:v>
      </x:c>
      <x:c r="N377" s="28" t="n">
        <x:v>10</x:v>
      </x:c>
      <x:c r="O377" s="28" t="n">
        <x:f>M377*N377</x:f>
        <x:v>200</x:v>
      </x:c>
      <x:c r="P377" s="24" t="n">
        <x:v>2.79</x:v>
      </x:c>
      <x:c r="Q377" s="26" t="n">
        <x:v>0.08279783239030467</x:v>
      </x:c>
      <x:c r="R377" s="24" t="n">
        <x:f>O377*P377*Q377</x:f>
        <x:v>46.20119047379001</x:v>
      </x:c>
      <x:c r="S377" s="24" t="n">
        <x:f>P377*(1-Q377)</x:f>
        <x:v>2.55899404763105</x:v>
      </x:c>
      <x:c r="T377" s="24" t="n">
        <x:f>O377*S377</x:f>
        <x:v>511.79880952621</x:v>
      </x:c>
      <x:c r="U377" t="str">
        <x:v>NORTE</x:v>
      </x:c>
      <x:c r="V377" t="str">
        <x:v>Farmacia Norte</x:v>
      </x:c>
      <x:c r="W377" t="str">
        <x:v>Zona Norte</x:v>
      </x:c>
      <x:c r="X377" t="str">
        <x:v>Quito</x:v>
      </x:c>
      <x:c r="Y377" s="32" t="str">
        <x:v>Av. 10 de Agosto N45-20</x:v>
      </x:c>
      <x:c r="Z377" s="22" t="n">
        <x:v>46167</x:v>
      </x:c>
      <x:c r="AA377" t="str">
        <x:v>Recibido</x:v>
      </x:c>
      <x:c r="AB377" t="str">
        <x:v>15 días crédito</x:v>
      </x:c>
      <x:c r="AC377" s="32" t="str"/>
    </x:row>
    <x:row r="378">
      <x:c r="A378" t="n">
        <x:v>377</x:v>
      </x:c>
      <x:c r="B378" s="22" t="n">
        <x:v>45903</x:v>
      </x:c>
      <x:c r="C378" t="str">
        <x:v>OC-2025-0377</x:v>
      </x:c>
      <x:c r="D378" t="str">
        <x:v>F-D005-202509-8742</x:v>
      </x:c>
      <x:c r="E378" t="str">
        <x:v>L2509-001-0377</x:v>
      </x:c>
      <x:c r="F378" t="str">
        <x:v>D005</x:v>
      </x:c>
      <x:c r="G378" s="32" t="str">
        <x:v>PharmaExpress Quito</x:v>
      </x:c>
      <x:c r="H378" t="str">
        <x:v>MED001</x:v>
      </x:c>
      <x:c r="I378" s="32" t="str">
        <x:v>Paracetamol 500 mg</x:v>
      </x:c>
      <x:c r="J378" s="32" t="str">
        <x:v>Analgésicos</x:v>
      </x:c>
      <x:c r="K378" s="32" t="str">
        <x:v>Genfar</x:v>
      </x:c>
      <x:c r="L378" s="32" t="str">
        <x:v>Caja x 20 tabletas</x:v>
      </x:c>
      <x:c r="M378" s="28" t="n">
        <x:v>10</x:v>
      </x:c>
      <x:c r="N378" s="28" t="n">
        <x:v>30</x:v>
      </x:c>
      <x:c r="O378" s="28" t="n">
        <x:f>M378*N378</x:f>
        <x:v>300</x:v>
      </x:c>
      <x:c r="P378" s="24" t="n">
        <x:v>0.82</x:v>
      </x:c>
      <x:c r="Q378" s="26" t="n">
        <x:v>0.09867163488854444</x:v>
      </x:c>
      <x:c r="R378" s="24" t="n">
        <x:f>O378*P378*Q378</x:f>
        <x:v>24.27322218258193</x:v>
      </x:c>
      <x:c r="S378" s="24" t="n">
        <x:f>P378*(1-Q378)</x:f>
        <x:v>0.7390892593913935</x:v>
      </x:c>
      <x:c r="T378" s="24" t="n">
        <x:f>O378*S378</x:f>
        <x:v>221.72677781741805</x:v>
      </x:c>
      <x:c r="U378" t="str">
        <x:v>CENTRO</x:v>
      </x:c>
      <x:c r="V378" t="str">
        <x:v>Farmacia Centro Histórico</x:v>
      </x:c>
      <x:c r="W378" t="str">
        <x:v>Zona Centro</x:v>
      </x:c>
      <x:c r="X378" t="str">
        <x:v>Quito</x:v>
      </x:c>
      <x:c r="Y378" s="32" t="str">
        <x:v>Guayaquil y Chile</x:v>
      </x:c>
      <x:c r="Z378" s="22" t="n">
        <x:v>45905</x:v>
      </x:c>
      <x:c r="AA378" t="str">
        <x:v>Recibido</x:v>
      </x:c>
      <x:c r="AB378" t="str">
        <x:v>30 días crédito</x:v>
      </x:c>
      <x:c r="AC378" s="32" t="str"/>
    </x:row>
    <x:row r="379">
      <x:c r="A379" t="n">
        <x:v>378</x:v>
      </x:c>
      <x:c r="B379" s="22" t="n">
        <x:v>45932</x:v>
      </x:c>
      <x:c r="C379" t="str">
        <x:v>OC-2025-0378</x:v>
      </x:c>
      <x:c r="D379" t="str">
        <x:v>F-D004-202510-1383</x:v>
      </x:c>
      <x:c r="E379" t="str">
        <x:v>L2510-011-0378</x:v>
      </x:c>
      <x:c r="F379" t="str">
        <x:v>D004</x:v>
      </x:c>
      <x:c r="G379" s="32" t="str">
        <x:v>Distribuidora Salud Total</x:v>
      </x:c>
      <x:c r="H379" t="str">
        <x:v>MED011</x:v>
      </x:c>
      <x:c r="I379" s="32" t="str">
        <x:v>Jarabe antigripal</x:v>
      </x:c>
      <x:c r="J379" s="32" t="str">
        <x:v>Antigripales</x:v>
      </x:c>
      <x:c r="K379" s="32" t="str">
        <x:v>MEDICAMENTA</x:v>
      </x:c>
      <x:c r="L379" s="32" t="str">
        <x:v>Frasco 120 ml</x:v>
      </x:c>
      <x:c r="M379" s="28" t="n">
        <x:v>3</x:v>
      </x:c>
      <x:c r="N379" s="28" t="n">
        <x:v>50</x:v>
      </x:c>
      <x:c r="O379" s="28" t="n">
        <x:f>M379*N379</x:f>
        <x:v>150</x:v>
      </x:c>
      <x:c r="P379" s="24" t="n">
        <x:v>2.97</x:v>
      </x:c>
      <x:c r="Q379" s="26" t="n">
        <x:v>0.1026409517853169</x:v>
      </x:c>
      <x:c r="R379" s="24" t="n">
        <x:f>O379*P379*Q379</x:f>
        <x:v>45.72654402035869</x:v>
      </x:c>
      <x:c r="S379" s="24" t="n">
        <x:f>P379*(1-Q379)</x:f>
        <x:v>2.6651563731976093</x:v>
      </x:c>
      <x:c r="T379" s="24" t="n">
        <x:f>O379*S379</x:f>
        <x:v>399.7734559796414</x:v>
      </x:c>
      <x:c r="U379" t="str">
        <x:v>VALLE</x:v>
      </x:c>
      <x:c r="V379" t="str">
        <x:v>Farmacia Valle de los Chillos</x:v>
      </x:c>
      <x:c r="W379" t="str">
        <x:v>Zona Valle</x:v>
      </x:c>
      <x:c r="X379" t="str">
        <x:v>Sangolquí</x:v>
      </x:c>
      <x:c r="Y379" s="32" t="str">
        <x:v>Av. Calderón 101</x:v>
      </x:c>
      <x:c r="Z379" s="22" t="n">
        <x:v>45937</x:v>
      </x:c>
      <x:c r="AA379" t="str">
        <x:v>Recibido</x:v>
      </x:c>
      <x:c r="AB379" t="str">
        <x:v>45 días crédito</x:v>
      </x:c>
      <x:c r="AC379" s="32" t="str"/>
    </x:row>
    <x:row r="380">
      <x:c r="A380" t="n">
        <x:v>379</x:v>
      </x:c>
      <x:c r="B380" s="22" t="n">
        <x:v>45774</x:v>
      </x:c>
      <x:c r="C380" t="str">
        <x:v>OC-2025-0379</x:v>
      </x:c>
      <x:c r="D380" t="str">
        <x:v>F-D007-202504-7791</x:v>
      </x:c>
      <x:c r="E380" t="str">
        <x:v>L2504-006-0379</x:v>
      </x:c>
      <x:c r="F380" t="str">
        <x:v>D007</x:v>
      </x:c>
      <x:c r="G380" s="32" t="str">
        <x:v>Comercializadora BioFarma</x:v>
      </x:c>
      <x:c r="H380" t="str">
        <x:v>MED006</x:v>
      </x:c>
      <x:c r="I380" s="32" t="str">
        <x:v>Vitamina C 1 g</x:v>
      </x:c>
      <x:c r="J380" s="32" t="str">
        <x:v>Vitaminas</x:v>
      </x:c>
      <x:c r="K380" s="32" t="str">
        <x:v>Novartis</x:v>
      </x:c>
      <x:c r="L380" s="32" t="str">
        <x:v>Tubo x 10 efervescentes</x:v>
      </x:c>
      <x:c r="M380" s="28" t="n">
        <x:v>2</x:v>
      </x:c>
      <x:c r="N380" s="28" t="n">
        <x:v>60</x:v>
      </x:c>
      <x:c r="O380" s="28" t="n">
        <x:f>M380*N380</x:f>
        <x:v>120</x:v>
      </x:c>
      <x:c r="P380" s="24" t="n">
        <x:v>2.24</x:v>
      </x:c>
      <x:c r="Q380" s="26" t="n">
        <x:v>0.03063751524655524</x:v>
      </x:c>
      <x:c r="R380" s="24" t="n">
        <x:f>O380*P380*Q380</x:f>
        <x:v>8.235364098274049</x:v>
      </x:c>
      <x:c r="S380" s="24" t="n">
        <x:f>P380*(1-Q380)</x:f>
        <x:v>2.1713719658477166</x:v>
      </x:c>
      <x:c r="T380" s="24" t="n">
        <x:f>O380*S380</x:f>
        <x:v>260.564635901726</x:v>
      </x:c>
      <x:c r="U380" t="str">
        <x:v>NORTE</x:v>
      </x:c>
      <x:c r="V380" t="str">
        <x:v>Farmacia Norte</x:v>
      </x:c>
      <x:c r="W380" t="str">
        <x:v>Zona Norte</x:v>
      </x:c>
      <x:c r="X380" t="str">
        <x:v>Quito</x:v>
      </x:c>
      <x:c r="Y380" s="32" t="str">
        <x:v>Av. 10 de Agosto N45-20</x:v>
      </x:c>
      <x:c r="Z380" s="22" t="n">
        <x:v>45776</x:v>
      </x:c>
      <x:c r="AA380" t="str">
        <x:v>Recibido</x:v>
      </x:c>
      <x:c r="AB380" t="str">
        <x:v>15 días crédito</x:v>
      </x:c>
      <x:c r="AC380" s="32" t="str"/>
    </x:row>
    <x:row r="381">
      <x:c r="A381" t="n">
        <x:v>380</x:v>
      </x:c>
      <x:c r="B381" s="22" t="n">
        <x:v>46178</x:v>
      </x:c>
      <x:c r="C381" t="str">
        <x:v>OC-2026-0380</x:v>
      </x:c>
      <x:c r="D381" t="str">
        <x:v>F-D001-202606-1462</x:v>
      </x:c>
      <x:c r="E381" t="str">
        <x:v>L2606-002-0380</x:v>
      </x:c>
      <x:c r="F381" t="str">
        <x:v>D001</x:v>
      </x:c>
      <x:c r="G381" s="32" t="str">
        <x:v>DistriFarma Andina S.A.</x:v>
      </x:c>
      <x:c r="H381" t="str">
        <x:v>MED002</x:v>
      </x:c>
      <x:c r="I381" s="32" t="str">
        <x:v>Ibuprofeno 400 mg</x:v>
      </x:c>
      <x:c r="J381" s="32" t="str">
        <x:v>Analgésicos</x:v>
      </x:c>
      <x:c r="K381" s="32" t="str">
        <x:v>La Santé</x:v>
      </x:c>
      <x:c r="L381" s="32" t="str">
        <x:v>Caja x 20 tabletas</x:v>
      </x:c>
      <x:c r="M381" s="28" t="n">
        <x:v>9</x:v>
      </x:c>
      <x:c r="N381" s="28" t="n">
        <x:v>20</x:v>
      </x:c>
      <x:c r="O381" s="28" t="n">
        <x:f>M381*N381</x:f>
        <x:v>180</x:v>
      </x:c>
      <x:c r="P381" s="24" t="n">
        <x:v>1.33</x:v>
      </x:c>
      <x:c r="Q381" s="26" t="n">
        <x:v>0.0986534145947877</x:v>
      </x:c>
      <x:c r="R381" s="24" t="n">
        <x:f>O381*P381*Q381</x:f>
        <x:v>23.617627453992174</x:v>
      </x:c>
      <x:c r="S381" s="24" t="n">
        <x:f>P381*(1-Q381)</x:f>
        <x:v>1.1987909585889325</x:v>
      </x:c>
      <x:c r="T381" s="24" t="n">
        <x:f>O381*S381</x:f>
        <x:v>215.78237254600785</x:v>
      </x:c>
      <x:c r="U381" t="str">
        <x:v>NORTE</x:v>
      </x:c>
      <x:c r="V381" t="str">
        <x:v>Farmacia Norte</x:v>
      </x:c>
      <x:c r="W381" t="str">
        <x:v>Zona Norte</x:v>
      </x:c>
      <x:c r="X381" t="str">
        <x:v>Quito</x:v>
      </x:c>
      <x:c r="Y381" s="32" t="str">
        <x:v>Av. 10 de Agosto N45-20</x:v>
      </x:c>
      <x:c r="Z381" s="22" t="n">
        <x:v>46179</x:v>
      </x:c>
      <x:c r="AA381" t="str">
        <x:v>Recibido</x:v>
      </x:c>
      <x:c r="AB381" t="str">
        <x:v>30 días crédito</x:v>
      </x:c>
      <x:c r="AC381" s="32" t="str">
        <x:v>Entrega coordinada fuera de horario regular</x:v>
      </x:c>
    </x:row>
    <x:row r="382">
      <x:c r="A382" t="n">
        <x:v>381</x:v>
      </x:c>
      <x:c r="B382" s="22" t="n">
        <x:v>46028</x:v>
      </x:c>
      <x:c r="C382" t="str">
        <x:v>OC-2026-0381</x:v>
      </x:c>
      <x:c r="D382" t="str">
        <x:v>F-D004-202601-5456</x:v>
      </x:c>
      <x:c r="E382" t="str">
        <x:v>L2601-009-0381</x:v>
      </x:c>
      <x:c r="F382" t="str">
        <x:v>D004</x:v>
      </x:c>
      <x:c r="G382" s="32" t="str">
        <x:v>Distribuidora Salud Total</x:v>
      </x:c>
      <x:c r="H382" t="str">
        <x:v>MED009</x:v>
      </x:c>
      <x:c r="I382" s="32" t="str">
        <x:v>Losartán 50 mg</x:v>
      </x:c>
      <x:c r="J382" s="32" t="str">
        <x:v>Cardiovasculares</x:v>
      </x:c>
      <x:c r="K382" s="32" t="str">
        <x:v>Laboratorios Bagó</x:v>
      </x:c>
      <x:c r="L382" s="32" t="str">
        <x:v>Caja x 30 tabletas</x:v>
      </x:c>
      <x:c r="M382" s="28" t="n">
        <x:v>10</x:v>
      </x:c>
      <x:c r="N382" s="28" t="n">
        <x:v>10</x:v>
      </x:c>
      <x:c r="O382" s="28" t="n">
        <x:f>M382*N382</x:f>
        <x:v>100</x:v>
      </x:c>
      <x:c r="P382" s="24" t="n">
        <x:v>3.03</x:v>
      </x:c>
      <x:c r="Q382" s="26" t="n">
        <x:v>0.12986310837372508</x:v>
      </x:c>
      <x:c r="R382" s="24" t="n">
        <x:f>O382*P382*Q382</x:f>
        <x:v>39.3485218372387</x:v>
      </x:c>
      <x:c r="S382" s="24" t="n">
        <x:f>P382*(1-Q382)</x:f>
        <x:v>2.636514781627613</x:v>
      </x:c>
      <x:c r="T382" s="24" t="n">
        <x:f>O382*S382</x:f>
        <x:v>263.6514781627613</x:v>
      </x:c>
      <x:c r="U382" t="str">
        <x:v>SUR</x:v>
      </x:c>
      <x:c r="V382" t="str">
        <x:v>Farmacia del Sur</x:v>
      </x:c>
      <x:c r="W382" t="str">
        <x:v>Zona Sur</x:v>
      </x:c>
      <x:c r="X382" t="str">
        <x:v>Quito</x:v>
      </x:c>
      <x:c r="Y382" s="32" t="str">
        <x:v>Av. Maldonado S25-10</x:v>
      </x:c>
      <x:c r="Z382" s="22" t="n">
        <x:v>46032</x:v>
      </x:c>
      <x:c r="AA382" t="str">
        <x:v>Recibido</x:v>
      </x:c>
      <x:c r="AB382" t="str">
        <x:v>45 días crédito</x:v>
      </x:c>
      <x:c r="AC382" s="32" t="str">
        <x:v>Entrega coordinada fuera de horario regular</x:v>
      </x:c>
    </x:row>
    <x:row r="383">
      <x:c r="A383" t="n">
        <x:v>382</x:v>
      </x:c>
      <x:c r="B383" s="22" t="n">
        <x:v>45944</x:v>
      </x:c>
      <x:c r="C383" t="str">
        <x:v>OC-2025-0382</x:v>
      </x:c>
      <x:c r="D383" t="str">
        <x:v>F-D006-202510-3571</x:v>
      </x:c>
      <x:c r="E383" t="str">
        <x:v>L2510-013-0382</x:v>
      </x:c>
      <x:c r="F383" t="str">
        <x:v>D006</x:v>
      </x:c>
      <x:c r="G383" s="32" t="str">
        <x:v>Insumos Médicos del Pacífico</x:v>
      </x:c>
      <x:c r="H383" t="str">
        <x:v>MED013</x:v>
      </x:c>
      <x:c r="I383" s="32" t="str">
        <x:v>Probióticos</x:v>
      </x:c>
      <x:c r="J383" s="32" t="str">
        <x:v>Gastrointestinales</x:v>
      </x:c>
      <x:c r="K383" s="32" t="str">
        <x:v>Laboratorios Bagó</x:v>
      </x:c>
      <x:c r="L383" s="32" t="str">
        <x:v>Caja x 10 sobres</x:v>
      </x:c>
      <x:c r="M383" s="28" t="n">
        <x:v>3</x:v>
      </x:c>
      <x:c r="N383" s="28" t="n">
        <x:v>30</x:v>
      </x:c>
      <x:c r="O383" s="28" t="n">
        <x:f>M383*N383</x:f>
        <x:v>90</x:v>
      </x:c>
      <x:c r="P383" s="24" t="n">
        <x:v>5.67</x:v>
      </x:c>
      <x:c r="Q383" s="26" t="n">
        <x:v>0.12151302045835922</x:v>
      </x:c>
      <x:c r="R383" s="24" t="n">
        <x:f>O383*P383*Q383</x:f>
        <x:v>62.008094339900715</x:v>
      </x:c>
      <x:c r="S383" s="24" t="n">
        <x:f>P383*(1-Q383)</x:f>
        <x:v>4.9810211740011034</x:v>
      </x:c>
      <x:c r="T383" s="24" t="n">
        <x:f>O383*S383</x:f>
        <x:v>448.2919056600993</x:v>
      </x:c>
      <x:c r="U383" t="str">
        <x:v>VALLE</x:v>
      </x:c>
      <x:c r="V383" t="str">
        <x:v>Farmacia Valle de los Chillos</x:v>
      </x:c>
      <x:c r="W383" t="str">
        <x:v>Zona Valle</x:v>
      </x:c>
      <x:c r="X383" t="str">
        <x:v>Sangolquí</x:v>
      </x:c>
      <x:c r="Y383" s="32" t="str">
        <x:v>Av. Calderón 101</x:v>
      </x:c>
      <x:c r="Z383" s="22" t="n">
        <x:v>45945</x:v>
      </x:c>
      <x:c r="AA383" t="str">
        <x:v>Recibido</x:v>
      </x:c>
      <x:c r="AB383" t="str">
        <x:v>60 días crédito</x:v>
      </x:c>
      <x:c r="AC383" s="32" t="str"/>
    </x:row>
    <x:row r="384">
      <x:c r="A384" t="n">
        <x:v>383</x:v>
      </x:c>
      <x:c r="B384" s="22" t="n">
        <x:v>46091</x:v>
      </x:c>
      <x:c r="C384" t="str">
        <x:v>OC-2026-0383</x:v>
      </x:c>
      <x:c r="D384" t="str">
        <x:v>F-D003-202603-1907</x:v>
      </x:c>
      <x:c r="E384" t="str">
        <x:v>L2603-001-0383</x:v>
      </x:c>
      <x:c r="F384" t="str">
        <x:v>D003</x:v>
      </x:c>
      <x:c r="G384" s="32" t="str">
        <x:v>FarmaLogística Sierra</x:v>
      </x:c>
      <x:c r="H384" t="str">
        <x:v>MED001</x:v>
      </x:c>
      <x:c r="I384" s="32" t="str">
        <x:v>Paracetamol 500 mg</x:v>
      </x:c>
      <x:c r="J384" s="32" t="str">
        <x:v>Analgésicos</x:v>
      </x:c>
      <x:c r="K384" s="32" t="str">
        <x:v>Genfar</x:v>
      </x:c>
      <x:c r="L384" s="32" t="str">
        <x:v>Caja x 20 tabletas</x:v>
      </x:c>
      <x:c r="M384" s="28" t="n">
        <x:v>24</x:v>
      </x:c>
      <x:c r="N384" s="28" t="n">
        <x:v>20</x:v>
      </x:c>
      <x:c r="O384" s="28" t="n">
        <x:f>M384*N384</x:f>
        <x:v>480</x:v>
      </x:c>
      <x:c r="P384" s="24" t="n">
        <x:v>0.91</x:v>
      </x:c>
      <x:c r="Q384" s="26" t="n">
        <x:v>0.04193031656064312</x:v>
      </x:c>
      <x:c r="R384" s="24" t="n">
        <x:f>O384*P384*Q384</x:f>
        <x:v>18.315162273688916</x:v>
      </x:c>
      <x:c r="S384" s="24" t="n">
        <x:f>P384*(1-Q384)</x:f>
        <x:v>0.8718434119298147</x:v>
      </x:c>
      <x:c r="T384" s="24" t="n">
        <x:f>O384*S384</x:f>
        <x:v>418.48483772631107</x:v>
      </x:c>
      <x:c r="U384" t="str">
        <x:v>NORTE</x:v>
      </x:c>
      <x:c r="V384" t="str">
        <x:v>Farmacia Norte</x:v>
      </x:c>
      <x:c r="W384" t="str">
        <x:v>Zona Norte</x:v>
      </x:c>
      <x:c r="X384" t="str">
        <x:v>Quito</x:v>
      </x:c>
      <x:c r="Y384" s="32" t="str">
        <x:v>Av. 10 de Agosto N45-20</x:v>
      </x:c>
      <x:c r="Z384" s="22" t="n">
        <x:v>46092</x:v>
      </x:c>
      <x:c r="AA384" t="str">
        <x:v>Recibido</x:v>
      </x:c>
      <x:c r="AB384" t="str">
        <x:v>Contado contra entrega</x:v>
      </x:c>
      <x:c r="AC384" s="32" t="str"/>
    </x:row>
    <x:row r="385">
      <x:c r="A385" t="n">
        <x:v>384</x:v>
      </x:c>
      <x:c r="B385" s="22" t="n">
        <x:v>46041</x:v>
      </x:c>
      <x:c r="C385" t="str">
        <x:v>OC-2026-0384</x:v>
      </x:c>
      <x:c r="D385" t="str">
        <x:v>F-D004-202601-7014</x:v>
      </x:c>
      <x:c r="E385" t="str">
        <x:v>L2601-009-0384</x:v>
      </x:c>
      <x:c r="F385" t="str">
        <x:v>D004</x:v>
      </x:c>
      <x:c r="G385" s="32" t="str">
        <x:v>Distribuidora Salud Total</x:v>
      </x:c>
      <x:c r="H385" t="str">
        <x:v>MED009</x:v>
      </x:c>
      <x:c r="I385" s="32" t="str">
        <x:v>Losartán 50 mg</x:v>
      </x:c>
      <x:c r="J385" s="32" t="str">
        <x:v>Cardiovasculares</x:v>
      </x:c>
      <x:c r="K385" s="32" t="str">
        <x:v>Laboratorios Bagó</x:v>
      </x:c>
      <x:c r="L385" s="32" t="str">
        <x:v>Caja x 30 tabletas</x:v>
      </x:c>
      <x:c r="M385" s="28" t="n">
        <x:v>15</x:v>
      </x:c>
      <x:c r="N385" s="28" t="n">
        <x:v>10</x:v>
      </x:c>
      <x:c r="O385" s="28" t="n">
        <x:f>M385*N385</x:f>
        <x:v>150</x:v>
      </x:c>
      <x:c r="P385" s="24" t="n">
        <x:v>3.22</x:v>
      </x:c>
      <x:c r="Q385" s="26" t="n">
        <x:v>0.1266623805057055</x:v>
      </x:c>
      <x:c r="R385" s="24" t="n">
        <x:f>O385*P385*Q385</x:f>
        <x:v>61.17792978425576</x:v>
      </x:c>
      <x:c r="S385" s="24" t="n">
        <x:f>P385*(1-Q385)</x:f>
        <x:v>2.8121471347716285</x:v>
      </x:c>
      <x:c r="T385" s="24" t="n">
        <x:f>O385*S385</x:f>
        <x:v>421.82207021574425</x:v>
      </x:c>
      <x:c r="U385" t="str">
        <x:v>CENTRO</x:v>
      </x:c>
      <x:c r="V385" t="str">
        <x:v>Farmacia Centro Histórico</x:v>
      </x:c>
      <x:c r="W385" t="str">
        <x:v>Zona Centro</x:v>
      </x:c>
      <x:c r="X385" t="str">
        <x:v>Quito</x:v>
      </x:c>
      <x:c r="Y385" s="32" t="str">
        <x:v>Guayaquil y Chile</x:v>
      </x:c>
      <x:c r="Z385" s="22" t="n">
        <x:v>46043</x:v>
      </x:c>
      <x:c r="AA385" t="str">
        <x:v>Recibido</x:v>
      </x:c>
      <x:c r="AB385" t="str">
        <x:v>45 días crédito</x:v>
      </x:c>
      <x:c r="AC385" s="32" t="str"/>
    </x:row>
    <x:row r="386">
      <x:c r="A386" t="n">
        <x:v>385</x:v>
      </x:c>
      <x:c r="B386" s="22" t="n">
        <x:v>46116</x:v>
      </x:c>
      <x:c r="C386" t="str">
        <x:v>OC-2026-0385</x:v>
      </x:c>
      <x:c r="D386" t="str">
        <x:v>F-D006-202604-5142</x:v>
      </x:c>
      <x:c r="E386" t="str">
        <x:v>L2604-008-0385</x:v>
      </x:c>
      <x:c r="F386" t="str">
        <x:v>D006</x:v>
      </x:c>
      <x:c r="G386" s="32" t="str">
        <x:v>Insumos Médicos del Pacífico</x:v>
      </x:c>
      <x:c r="H386" t="str">
        <x:v>MED008</x:v>
      </x:c>
      <x:c r="I386" s="32" t="str">
        <x:v>Diclofenaco gel</x:v>
      </x:c>
      <x:c r="J386" s="32" t="str">
        <x:v>Dermatológicos</x:v>
      </x:c>
      <x:c r="K386" s="32" t="str">
        <x:v>Bayer</x:v>
      </x:c>
      <x:c r="L386" s="32" t="str">
        <x:v>Tubo 50 g</x:v>
      </x:c>
      <x:c r="M386" s="28" t="n">
        <x:v>4</x:v>
      </x:c>
      <x:c r="N386" s="28" t="n">
        <x:v>30</x:v>
      </x:c>
      <x:c r="O386" s="28" t="n">
        <x:f>M386*N386</x:f>
        <x:v>120</x:v>
      </x:c>
      <x:c r="P386" s="24" t="n">
        <x:v>1.97</x:v>
      </x:c>
      <x:c r="Q386" s="26" t="n">
        <x:v>0.10025461494903642</x:v>
      </x:c>
      <x:c r="R386" s="24" t="n">
        <x:f>O386*P386*Q386</x:f>
        <x:v>23.70019097395221</x:v>
      </x:c>
      <x:c r="S386" s="24" t="n">
        <x:f>P386*(1-Q386)</x:f>
        <x:v>1.7724984085503983</x:v>
      </x:c>
      <x:c r="T386" s="24" t="n">
        <x:f>O386*S386</x:f>
        <x:v>212.6998090260478</x:v>
      </x:c>
      <x:c r="U386" t="str">
        <x:v>VALLE</x:v>
      </x:c>
      <x:c r="V386" t="str">
        <x:v>Farmacia Valle de los Chillos</x:v>
      </x:c>
      <x:c r="W386" t="str">
        <x:v>Zona Valle</x:v>
      </x:c>
      <x:c r="X386" t="str">
        <x:v>Sangolquí</x:v>
      </x:c>
      <x:c r="Y386" s="32" t="str">
        <x:v>Av. Calderón 101</x:v>
      </x:c>
      <x:c r="Z386" s="22" t="n">
        <x:v>46120</x:v>
      </x:c>
      <x:c r="AA386" t="str">
        <x:v>Recibido</x:v>
      </x:c>
      <x:c r="AB386" t="str">
        <x:v>60 días crédito</x:v>
      </x:c>
      <x:c r="AC386" s="32" t="str"/>
    </x:row>
    <x:row r="387">
      <x:c r="A387" t="n">
        <x:v>386</x:v>
      </x:c>
      <x:c r="B387" s="22" t="n">
        <x:v>45990</x:v>
      </x:c>
      <x:c r="C387" t="str">
        <x:v>OC-2025-0386</x:v>
      </x:c>
      <x:c r="D387" t="str">
        <x:v>F-D004-202511-3142</x:v>
      </x:c>
      <x:c r="E387" t="str">
        <x:v>L2511-009-0386</x:v>
      </x:c>
      <x:c r="F387" t="str">
        <x:v>D004</x:v>
      </x:c>
      <x:c r="G387" s="32" t="str">
        <x:v>Distribuidora Salud Total</x:v>
      </x:c>
      <x:c r="H387" t="str">
        <x:v>MED009</x:v>
      </x:c>
      <x:c r="I387" s="32" t="str">
        <x:v>Losartán 50 mg</x:v>
      </x:c>
      <x:c r="J387" s="32" t="str">
        <x:v>Cardiovasculares</x:v>
      </x:c>
      <x:c r="K387" s="32" t="str">
        <x:v>Laboratorios Bagó</x:v>
      </x:c>
      <x:c r="L387" s="32" t="str">
        <x:v>Caja x 30 tabletas</x:v>
      </x:c>
      <x:c r="M387" s="28" t="n">
        <x:v>5</x:v>
      </x:c>
      <x:c r="N387" s="28" t="n">
        <x:v>24</x:v>
      </x:c>
      <x:c r="O387" s="28" t="n">
        <x:f>M387*N387</x:f>
        <x:v>120</x:v>
      </x:c>
      <x:c r="P387" s="24" t="n">
        <x:v>3.11</x:v>
      </x:c>
      <x:c r="Q387" s="26" t="n">
        <x:v>0.10252468205236122</x:v>
      </x:c>
      <x:c r="R387" s="24" t="n">
        <x:f>O387*P387*Q387</x:f>
        <x:v>38.2622113419412</x:v>
      </x:c>
      <x:c r="S387" s="24" t="n">
        <x:f>P387*(1-Q387)</x:f>
        <x:v>2.7911482388171565</x:v>
      </x:c>
      <x:c r="T387" s="24" t="n">
        <x:f>O387*S387</x:f>
        <x:v>334.93778865805876</x:v>
      </x:c>
      <x:c r="U387" t="str">
        <x:v>VALLE</x:v>
      </x:c>
      <x:c r="V387" t="str">
        <x:v>Farmacia Valle de los Chillos</x:v>
      </x:c>
      <x:c r="W387" t="str">
        <x:v>Zona Valle</x:v>
      </x:c>
      <x:c r="X387" t="str">
        <x:v>Sangolquí</x:v>
      </x:c>
      <x:c r="Y387" s="32" t="str">
        <x:v>Av. Calderón 101</x:v>
      </x:c>
      <x:c r="Z387" s="22" t="n">
        <x:v>45992</x:v>
      </x:c>
      <x:c r="AA387" t="str">
        <x:v>Recibido</x:v>
      </x:c>
      <x:c r="AB387" t="str">
        <x:v>45 días crédito</x:v>
      </x:c>
      <x:c r="AC387" s="32" t="str"/>
    </x:row>
    <x:row r="388">
      <x:c r="A388" t="n">
        <x:v>387</x:v>
      </x:c>
      <x:c r="B388" s="22" t="n">
        <x:v>46168</x:v>
      </x:c>
      <x:c r="C388" t="str">
        <x:v>OC-2026-0387</x:v>
      </x:c>
      <x:c r="D388" t="str">
        <x:v>F-D004-202605-5841</x:v>
      </x:c>
      <x:c r="E388" t="str">
        <x:v>L2605-003-0387</x:v>
      </x:c>
      <x:c r="F388" t="str">
        <x:v>D004</x:v>
      </x:c>
      <x:c r="G388" s="32" t="str">
        <x:v>Distribuidora Salud Total</x:v>
      </x:c>
      <x:c r="H388" t="str">
        <x:v>MED003</x:v>
      </x:c>
      <x:c r="I388" s="32" t="str">
        <x:v>Amoxicilina 500 mg</x:v>
      </x:c>
      <x:c r="J388" s="32" t="str">
        <x:v>Antibióticos</x:v>
      </x:c>
      <x:c r="K388" s="32" t="str">
        <x:v>Acromax</x:v>
      </x:c>
      <x:c r="L388" s="32" t="str">
        <x:v>Caja x 21 cápsulas</x:v>
      </x:c>
      <x:c r="M388" s="28" t="n">
        <x:v>18</x:v>
      </x:c>
      <x:c r="N388" s="28" t="n">
        <x:v>10</x:v>
      </x:c>
      <x:c r="O388" s="28" t="n">
        <x:f>M388*N388</x:f>
        <x:v>180</x:v>
      </x:c>
      <x:c r="P388" s="24" t="n">
        <x:v>4.42</x:v>
      </x:c>
      <x:c r="Q388" s="26" t="n">
        <x:v>0.11365042827723915</x:v>
      </x:c>
      <x:c r="R388" s="24" t="n">
        <x:f>O388*P388*Q388</x:f>
        <x:v>90.42028073737147</x:v>
      </x:c>
      <x:c r="S388" s="24" t="n">
        <x:f>P388*(1-Q388)</x:f>
        <x:v>3.917665107014603</x:v>
      </x:c>
      <x:c r="T388" s="24" t="n">
        <x:f>O388*S388</x:f>
        <x:v>705.1797192626285</x:v>
      </x:c>
      <x:c r="U388" t="str">
        <x:v>NORTE</x:v>
      </x:c>
      <x:c r="V388" t="str">
        <x:v>Farmacia Norte</x:v>
      </x:c>
      <x:c r="W388" t="str">
        <x:v>Zona Norte</x:v>
      </x:c>
      <x:c r="X388" t="str">
        <x:v>Quito</x:v>
      </x:c>
      <x:c r="Y388" s="32" t="str">
        <x:v>Av. 10 de Agosto N45-20</x:v>
      </x:c>
      <x:c r="Z388" s="22" t="n">
        <x:v>46170</x:v>
      </x:c>
      <x:c r="AA388" t="str">
        <x:v>Recibido</x:v>
      </x:c>
      <x:c r="AB388" t="str">
        <x:v>45 días crédito</x:v>
      </x:c>
      <x:c r="AC388" s="32" t="str"/>
    </x:row>
    <x:row r="389">
      <x:c r="A389" t="n">
        <x:v>388</x:v>
      </x:c>
      <x:c r="B389" s="22" t="n">
        <x:v>45703</x:v>
      </x:c>
      <x:c r="C389" t="str">
        <x:v>OC-2025-0388</x:v>
      </x:c>
      <x:c r="D389" t="str">
        <x:v>F-D004-202502-2710</x:v>
      </x:c>
      <x:c r="E389" t="str">
        <x:v>L2502-013-0388</x:v>
      </x:c>
      <x:c r="F389" t="str">
        <x:v>D004</x:v>
      </x:c>
      <x:c r="G389" s="32" t="str">
        <x:v>Distribuidora Salud Total</x:v>
      </x:c>
      <x:c r="H389" t="str">
        <x:v>MED013</x:v>
      </x:c>
      <x:c r="I389" s="32" t="str">
        <x:v>Probióticos</x:v>
      </x:c>
      <x:c r="J389" s="32" t="str">
        <x:v>Gastrointestinales</x:v>
      </x:c>
      <x:c r="K389" s="32" t="str">
        <x:v>Laboratorios Bagó</x:v>
      </x:c>
      <x:c r="L389" s="32" t="str">
        <x:v>Caja x 10 sobres</x:v>
      </x:c>
      <x:c r="M389" s="28" t="n">
        <x:v>10</x:v>
      </x:c>
      <x:c r="N389" s="28" t="n">
        <x:v>24</x:v>
      </x:c>
      <x:c r="O389" s="28" t="n">
        <x:f>M389*N389</x:f>
        <x:v>240</x:v>
      </x:c>
      <x:c r="P389" s="24" t="n">
        <x:v>5.71</x:v>
      </x:c>
      <x:c r="Q389" s="26" t="n">
        <x:v>0.10815870999251131</x:v>
      </x:c>
      <x:c r="R389" s="24" t="n">
        <x:f>O389*P389*Q389</x:f>
        <x:v>148.2206961737375</x:v>
      </x:c>
      <x:c r="S389" s="24" t="n">
        <x:f>P389*(1-Q389)</x:f>
        <x:v>5.09241376594276</x:v>
      </x:c>
      <x:c r="T389" s="24" t="n">
        <x:f>O389*S389</x:f>
        <x:v>1222.1793038262624</x:v>
      </x:c>
      <x:c r="U389" t="str">
        <x:v>CENTRO</x:v>
      </x:c>
      <x:c r="V389" t="str">
        <x:v>Farmacia Centro Histórico</x:v>
      </x:c>
      <x:c r="W389" t="str">
        <x:v>Zona Centro</x:v>
      </x:c>
      <x:c r="X389" t="str">
        <x:v>Quito</x:v>
      </x:c>
      <x:c r="Y389" s="32" t="str">
        <x:v>Guayaquil y Chile</x:v>
      </x:c>
      <x:c r="Z389" s="22" t="n">
        <x:v>45705</x:v>
      </x:c>
      <x:c r="AA389" t="str">
        <x:v>Recibido</x:v>
      </x:c>
      <x:c r="AB389" t="str">
        <x:v>45 días crédito</x:v>
      </x:c>
      <x:c r="AC389" s="32" t="str"/>
    </x:row>
    <x:row r="390">
      <x:c r="A390" t="n">
        <x:v>389</x:v>
      </x:c>
      <x:c r="B390" s="22" t="n">
        <x:v>46385</x:v>
      </x:c>
      <x:c r="C390" t="str">
        <x:v>OC-2026-0389</x:v>
      </x:c>
      <x:c r="D390" t="str">
        <x:v>F-D003-202612-4715</x:v>
      </x:c>
      <x:c r="E390" t="str">
        <x:v>L2612-001-0389</x:v>
      </x:c>
      <x:c r="F390" t="str">
        <x:v>D003</x:v>
      </x:c>
      <x:c r="G390" s="32" t="str">
        <x:v>FarmaLogística Sierra</x:v>
      </x:c>
      <x:c r="H390" t="str">
        <x:v>MED001</x:v>
      </x:c>
      <x:c r="I390" s="32" t="str">
        <x:v>Paracetamol 500 mg</x:v>
      </x:c>
      <x:c r="J390" s="32" t="str">
        <x:v>Analgésicos</x:v>
      </x:c>
      <x:c r="K390" s="32" t="str">
        <x:v>Genfar</x:v>
      </x:c>
      <x:c r="L390" s="32" t="str">
        <x:v>Caja x 20 tabletas</x:v>
      </x:c>
      <x:c r="M390" s="28" t="n">
        <x:v>60</x:v>
      </x:c>
      <x:c r="N390" s="28" t="n">
        <x:v>10</x:v>
      </x:c>
      <x:c r="O390" s="28" t="n">
        <x:f>M390*N390</x:f>
        <x:v>600</x:v>
      </x:c>
      <x:c r="P390" s="24" t="n">
        <x:v>0.96</x:v>
      </x:c>
      <x:c r="Q390" s="26" t="n">
        <x:v>0.053216635913601956</x:v>
      </x:c>
      <x:c r="R390" s="24" t="n">
        <x:f>O390*P390*Q390</x:f>
        <x:v>30.652782286234725</x:v>
      </x:c>
      <x:c r="S390" s="24" t="n">
        <x:f>P390*(1-Q390)</x:f>
        <x:v>0.9089120295229421</x:v>
      </x:c>
      <x:c r="T390" s="24" t="n">
        <x:f>O390*S390</x:f>
        <x:v>545.3472177137653</x:v>
      </x:c>
      <x:c r="U390" t="str">
        <x:v>VALLE</x:v>
      </x:c>
      <x:c r="V390" t="str">
        <x:v>Farmacia Valle de los Chillos</x:v>
      </x:c>
      <x:c r="W390" t="str">
        <x:v>Zona Valle</x:v>
      </x:c>
      <x:c r="X390" t="str">
        <x:v>Sangolquí</x:v>
      </x:c>
      <x:c r="Y390" s="32" t="str">
        <x:v>Av. Calderón 101</x:v>
      </x:c>
      <x:c r="Z390" s="22" t="n">
        <x:v>46389</x:v>
      </x:c>
      <x:c r="AA390" t="str">
        <x:v>Pendiente</x:v>
      </x:c>
      <x:c r="AB390" t="str">
        <x:v>Contado contra entrega</x:v>
      </x:c>
      <x:c r="AC390" s="32" t="str">
        <x:v>Entrega coordinada fuera de horario regular</x:v>
      </x:c>
    </x:row>
    <x:row r="391">
      <x:c r="A391" t="n">
        <x:v>390</x:v>
      </x:c>
      <x:c r="B391" s="22" t="n">
        <x:v>45748</x:v>
      </x:c>
      <x:c r="C391" t="str">
        <x:v>OC-2025-0390</x:v>
      </x:c>
      <x:c r="D391" t="str">
        <x:v>F-D001-202504-8883</x:v>
      </x:c>
      <x:c r="E391" t="str">
        <x:v>L2504-005-0390</x:v>
      </x:c>
      <x:c r="F391" t="str">
        <x:v>D001</x:v>
      </x:c>
      <x:c r="G391" s="32" t="str">
        <x:v>DistriFarma Andina S.A.</x:v>
      </x:c>
      <x:c r="H391" t="str">
        <x:v>MED005</x:v>
      </x:c>
      <x:c r="I391" s="32" t="str">
        <x:v>Loratadina 10 mg</x:v>
      </x:c>
      <x:c r="J391" s="32" t="str">
        <x:v>Antigripales</x:v>
      </x:c>
      <x:c r="K391" s="32" t="str">
        <x:v>Genfar</x:v>
      </x:c>
      <x:c r="L391" s="32" t="str">
        <x:v>Caja x 10 tabletas</x:v>
      </x:c>
      <x:c r="M391" s="28" t="n">
        <x:v>10</x:v>
      </x:c>
      <x:c r="N391" s="28" t="n">
        <x:v>50</x:v>
      </x:c>
      <x:c r="O391" s="28" t="n">
        <x:f>M391*N391</x:f>
        <x:v>500</x:v>
      </x:c>
      <x:c r="P391" s="24" t="n">
        <x:v>0.93</x:v>
      </x:c>
      <x:c r="Q391" s="26" t="n">
        <x:v>0.08689524132278863</x:v>
      </x:c>
      <x:c r="R391" s="24" t="n">
        <x:f>O391*P391*Q391</x:f>
        <x:v>40.40628721509671</x:v>
      </x:c>
      <x:c r="S391" s="24" t="n">
        <x:f>P391*(1-Q391)</x:f>
        <x:v>0.8491874255698066</x:v>
      </x:c>
      <x:c r="T391" s="24" t="n">
        <x:f>O391*S391</x:f>
        <x:v>424.59371278490335</x:v>
      </x:c>
      <x:c r="U391" t="str">
        <x:v>NORTE</x:v>
      </x:c>
      <x:c r="V391" t="str">
        <x:v>Farmacia Norte</x:v>
      </x:c>
      <x:c r="W391" t="str">
        <x:v>Zona Norte</x:v>
      </x:c>
      <x:c r="X391" t="str">
        <x:v>Quito</x:v>
      </x:c>
      <x:c r="Y391" s="32" t="str">
        <x:v>Av. 10 de Agosto N45-20</x:v>
      </x:c>
      <x:c r="Z391" s="22" t="n">
        <x:v>45752</x:v>
      </x:c>
      <x:c r="AA391" t="str">
        <x:v>Recibido</x:v>
      </x:c>
      <x:c r="AB391" t="str">
        <x:v>30 días crédito</x:v>
      </x:c>
      <x:c r="AC391" s="32" t="str">
        <x:v>Entrega coordinada fuera de horario regular</x:v>
      </x:c>
    </x:row>
    <x:row r="392">
      <x:c r="A392" t="n">
        <x:v>391</x:v>
      </x:c>
      <x:c r="B392" s="22" t="n">
        <x:v>46215</x:v>
      </x:c>
      <x:c r="C392" t="str">
        <x:v>OC-2026-0391</x:v>
      </x:c>
      <x:c r="D392" t="str">
        <x:v>F-D008-202607-5379</x:v>
      </x:c>
      <x:c r="E392" t="str">
        <x:v>L2607-002-0391</x:v>
      </x:c>
      <x:c r="F392" t="str">
        <x:v>D008</x:v>
      </x:c>
      <x:c r="G392" s="32" t="str">
        <x:v>Mayorista MedicPlus</x:v>
      </x:c>
      <x:c r="H392" t="str">
        <x:v>MED002</x:v>
      </x:c>
      <x:c r="I392" s="32" t="str">
        <x:v>Ibuprofeno 400 mg</x:v>
      </x:c>
      <x:c r="J392" s="32" t="str">
        <x:v>Analgésicos</x:v>
      </x:c>
      <x:c r="K392" s="32" t="str">
        <x:v>La Santé</x:v>
      </x:c>
      <x:c r="L392" s="32" t="str">
        <x:v>Caja x 20 tabletas</x:v>
      </x:c>
      <x:c r="M392" s="28" t="n">
        <x:v>2</x:v>
      </x:c>
      <x:c r="N392" s="28" t="n">
        <x:v>30</x:v>
      </x:c>
      <x:c r="O392" s="28" t="n">
        <x:f>M392*N392</x:f>
        <x:v>60</x:v>
      </x:c>
      <x:c r="P392" s="24" t="n">
        <x:v>1.39</x:v>
      </x:c>
      <x:c r="Q392" s="26" t="n">
        <x:v>0.09959039616264827</x:v>
      </x:c>
      <x:c r="R392" s="24" t="n">
        <x:f>O392*P392*Q392</x:f>
        <x:v>8.305839039964864</x:v>
      </x:c>
      <x:c r="S392" s="24" t="n">
        <x:f>P392*(1-Q392)</x:f>
        <x:v>1.2515693493339188</x:v>
      </x:c>
      <x:c r="T392" s="24" t="n">
        <x:f>O392*S392</x:f>
        <x:v>75.09416096003513</x:v>
      </x:c>
      <x:c r="U392" t="str">
        <x:v>CENTRO</x:v>
      </x:c>
      <x:c r="V392" t="str">
        <x:v>Farmacia Centro Histórico</x:v>
      </x:c>
      <x:c r="W392" t="str">
        <x:v>Zona Centro</x:v>
      </x:c>
      <x:c r="X392" t="str">
        <x:v>Quito</x:v>
      </x:c>
      <x:c r="Y392" s="32" t="str">
        <x:v>Guayaquil y Chile</x:v>
      </x:c>
      <x:c r="Z392" s="22" t="n">
        <x:v>46217</x:v>
      </x:c>
      <x:c r="AA392" t="str">
        <x:v>Recibido</x:v>
      </x:c>
      <x:c r="AB392" t="str">
        <x:v>30 días crédito</x:v>
      </x:c>
      <x:c r="AC392" s="32" t="str"/>
    </x:row>
    <x:row r="393">
      <x:c r="A393" t="n">
        <x:v>392</x:v>
      </x:c>
      <x:c r="B393" s="22" t="n">
        <x:v>46364</x:v>
      </x:c>
      <x:c r="C393" t="str">
        <x:v>OC-2026-0392</x:v>
      </x:c>
      <x:c r="D393" t="str">
        <x:v>F-D005-202612-8300</x:v>
      </x:c>
      <x:c r="E393" t="str">
        <x:v>L2612-012-0392</x:v>
      </x:c>
      <x:c r="F393" t="str">
        <x:v>D005</x:v>
      </x:c>
      <x:c r="G393" s="32" t="str">
        <x:v>PharmaExpress Quito</x:v>
      </x:c>
      <x:c r="H393" t="str">
        <x:v>MED012</x:v>
      </x:c>
      <x:c r="I393" s="32" t="str">
        <x:v>Multivitamínico adulto</x:v>
      </x:c>
      <x:c r="J393" s="32" t="str">
        <x:v>Vitaminas</x:v>
      </x:c>
      <x:c r="K393" s="32" t="str">
        <x:v>Novartis</x:v>
      </x:c>
      <x:c r="L393" s="32" t="str">
        <x:v>Frasco x 30 tabletas</x:v>
      </x:c>
      <x:c r="M393" s="28" t="n">
        <x:v>16</x:v>
      </x:c>
      <x:c r="N393" s="28" t="n">
        <x:v>30</x:v>
      </x:c>
      <x:c r="O393" s="28" t="n">
        <x:f>M393*N393</x:f>
        <x:v>480</x:v>
      </x:c>
      <x:c r="P393" s="24" t="n">
        <x:v>4.39</x:v>
      </x:c>
      <x:c r="Q393" s="26" t="n">
        <x:v>0.11855073770127683</x:v>
      </x:c>
      <x:c r="R393" s="24" t="n">
        <x:f>O393*P393*Q393</x:f>
        <x:v>249.8101144841305</x:v>
      </x:c>
      <x:c r="S393" s="24" t="n">
        <x:f>P393*(1-Q393)</x:f>
        <x:v>3.869562261491394</x:v>
      </x:c>
      <x:c r="T393" s="24" t="n">
        <x:f>O393*S393</x:f>
        <x:v>1857.389885515869</x:v>
      </x:c>
      <x:c r="U393" t="str">
        <x:v>CENTRO</x:v>
      </x:c>
      <x:c r="V393" t="str">
        <x:v>Farmacia Centro Histórico</x:v>
      </x:c>
      <x:c r="W393" t="str">
        <x:v>Zona Centro</x:v>
      </x:c>
      <x:c r="X393" t="str">
        <x:v>Quito</x:v>
      </x:c>
      <x:c r="Y393" s="32" t="str">
        <x:v>Guayaquil y Chile</x:v>
      </x:c>
      <x:c r="Z393" s="22" t="n">
        <x:v>46369</x:v>
      </x:c>
      <x:c r="AA393" t="str">
        <x:v>Recibido</x:v>
      </x:c>
      <x:c r="AB393" t="str">
        <x:v>30 días crédito</x:v>
      </x:c>
      <x:c r="AC393" s="32" t="str">
        <x:v>Entrega coordinada fuera de horario regular</x:v>
      </x:c>
    </x:row>
    <x:row r="394">
      <x:c r="A394" t="n">
        <x:v>393</x:v>
      </x:c>
      <x:c r="B394" s="22" t="n">
        <x:v>46137</x:v>
      </x:c>
      <x:c r="C394" t="str">
        <x:v>OC-2026-0393</x:v>
      </x:c>
      <x:c r="D394" t="str">
        <x:v>F-D003-202604-5456</x:v>
      </x:c>
      <x:c r="E394" t="str">
        <x:v>L2604-007-0393</x:v>
      </x:c>
      <x:c r="F394" t="str">
        <x:v>D003</x:v>
      </x:c>
      <x:c r="G394" s="32" t="str">
        <x:v>FarmaLogística Sierra</x:v>
      </x:c>
      <x:c r="H394" t="str">
        <x:v>MED007</x:v>
      </x:c>
      <x:c r="I394" s="32" t="str">
        <x:v>Omeprazol 20 mg</x:v>
      </x:c>
      <x:c r="J394" s="32" t="str">
        <x:v>Gastrointestinales</x:v>
      </x:c>
      <x:c r="K394" s="32" t="str">
        <x:v>La Santé</x:v>
      </x:c>
      <x:c r="L394" s="32" t="str">
        <x:v>Caja x 30 cápsulas</x:v>
      </x:c>
      <x:c r="M394" s="28" t="n">
        <x:v>4</x:v>
      </x:c>
      <x:c r="N394" s="28" t="n">
        <x:v>50</x:v>
      </x:c>
      <x:c r="O394" s="28" t="n">
        <x:f>M394*N394</x:f>
        <x:v>200</x:v>
      </x:c>
      <x:c r="P394" s="24" t="n">
        <x:v>3.17</x:v>
      </x:c>
      <x:c r="Q394" s="26" t="n">
        <x:v>0.07273064839772486</x:v>
      </x:c>
      <x:c r="R394" s="24" t="n">
        <x:f>O394*P394*Q394</x:f>
        <x:v>46.11123108415756</x:v>
      </x:c>
      <x:c r="S394" s="24" t="n">
        <x:f>P394*(1-Q394)</x:f>
        <x:v>2.939443844579212</x:v>
      </x:c>
      <x:c r="T394" s="24" t="n">
        <x:f>O394*S394</x:f>
        <x:v>587.8887689158424</x:v>
      </x:c>
      <x:c r="U394" t="str">
        <x:v>NORTE</x:v>
      </x:c>
      <x:c r="V394" t="str">
        <x:v>Farmacia Norte</x:v>
      </x:c>
      <x:c r="W394" t="str">
        <x:v>Zona Norte</x:v>
      </x:c>
      <x:c r="X394" t="str">
        <x:v>Quito</x:v>
      </x:c>
      <x:c r="Y394" s="32" t="str">
        <x:v>Av. 10 de Agosto N45-20</x:v>
      </x:c>
      <x:c r="Z394" s="22" t="n">
        <x:v>46140</x:v>
      </x:c>
      <x:c r="AA394" t="str">
        <x:v>Recibido</x:v>
      </x:c>
      <x:c r="AB394" t="str">
        <x:v>Contado contra entrega</x:v>
      </x:c>
      <x:c r="AC394" s="32" t="str"/>
    </x:row>
    <x:row r="395">
      <x:c r="A395" t="n">
        <x:v>394</x:v>
      </x:c>
      <x:c r="B395" s="22" t="n">
        <x:v>45748</x:v>
      </x:c>
      <x:c r="C395" t="str">
        <x:v>OC-2025-0394</x:v>
      </x:c>
      <x:c r="D395" t="str">
        <x:v>F-D008-202504-4597</x:v>
      </x:c>
      <x:c r="E395" t="str">
        <x:v>L2504-007-0394</x:v>
      </x:c>
      <x:c r="F395" t="str">
        <x:v>D008</x:v>
      </x:c>
      <x:c r="G395" s="32" t="str">
        <x:v>Mayorista MedicPlus</x:v>
      </x:c>
      <x:c r="H395" t="str">
        <x:v>MED007</x:v>
      </x:c>
      <x:c r="I395" s="32" t="str">
        <x:v>Omeprazol 20 mg</x:v>
      </x:c>
      <x:c r="J395" s="32" t="str">
        <x:v>Gastrointestinales</x:v>
      </x:c>
      <x:c r="K395" s="32" t="str">
        <x:v>La Santé</x:v>
      </x:c>
      <x:c r="L395" s="32" t="str">
        <x:v>Caja x 30 cápsulas</x:v>
      </x:c>
      <x:c r="M395" s="28" t="n">
        <x:v>36</x:v>
      </x:c>
      <x:c r="N395" s="28" t="n">
        <x:v>10</x:v>
      </x:c>
      <x:c r="O395" s="28" t="n">
        <x:f>M395*N395</x:f>
        <x:v>360</x:v>
      </x:c>
      <x:c r="P395" s="24" t="n">
        <x:v>2.54</x:v>
      </x:c>
      <x:c r="Q395" s="26" t="n">
        <x:v>0.0729714828398864</x:v>
      </x:c>
      <x:c r="R395" s="24" t="n">
        <x:f>O395*P395*Q395</x:f>
        <x:v>66.72512390879213</x:v>
      </x:c>
      <x:c r="S395" s="24" t="n">
        <x:f>P395*(1-Q395)</x:f>
        <x:v>2.3546524335866885</x:v>
      </x:c>
      <x:c r="T395" s="24" t="n">
        <x:f>O395*S395</x:f>
        <x:v>847.6748760912079</x:v>
      </x:c>
      <x:c r="U395" t="str">
        <x:v>CENTRO</x:v>
      </x:c>
      <x:c r="V395" t="str">
        <x:v>Farmacia Centro Histórico</x:v>
      </x:c>
      <x:c r="W395" t="str">
        <x:v>Zona Centro</x:v>
      </x:c>
      <x:c r="X395" t="str">
        <x:v>Quito</x:v>
      </x:c>
      <x:c r="Y395" s="32" t="str">
        <x:v>Guayaquil y Chile</x:v>
      </x:c>
      <x:c r="Z395" s="22" t="n">
        <x:v>45751</x:v>
      </x:c>
      <x:c r="AA395" t="str">
        <x:v>Recibido</x:v>
      </x:c>
      <x:c r="AB395" t="str">
        <x:v>30 días crédito</x:v>
      </x:c>
      <x:c r="AC395" s="32" t="str"/>
    </x:row>
    <x:row r="396">
      <x:c r="A396" t="n">
        <x:v>395</x:v>
      </x:c>
      <x:c r="B396" s="22" t="n">
        <x:v>46288</x:v>
      </x:c>
      <x:c r="C396" t="str">
        <x:v>OC-2026-0395</x:v>
      </x:c>
      <x:c r="D396" t="str">
        <x:v>F-D006-202609-9435</x:v>
      </x:c>
      <x:c r="E396" t="str">
        <x:v>L2609-002-0395</x:v>
      </x:c>
      <x:c r="F396" t="str">
        <x:v>D006</x:v>
      </x:c>
      <x:c r="G396" s="32" t="str">
        <x:v>Insumos Médicos del Pacífico</x:v>
      </x:c>
      <x:c r="H396" t="str">
        <x:v>MED002</x:v>
      </x:c>
      <x:c r="I396" s="32" t="str">
        <x:v>Ibuprofeno 400 mg</x:v>
      </x:c>
      <x:c r="J396" s="32" t="str">
        <x:v>Analgésicos</x:v>
      </x:c>
      <x:c r="K396" s="32" t="str">
        <x:v>La Santé</x:v>
      </x:c>
      <x:c r="L396" s="32" t="str">
        <x:v>Caja x 20 tabletas</x:v>
      </x:c>
      <x:c r="M396" s="28" t="n">
        <x:v>12</x:v>
      </x:c>
      <x:c r="N396" s="28" t="n">
        <x:v>10</x:v>
      </x:c>
      <x:c r="O396" s="28" t="n">
        <x:f>M396*N396</x:f>
        <x:v>120</x:v>
      </x:c>
      <x:c r="P396" s="24" t="n">
        <x:v>1.11</x:v>
      </x:c>
      <x:c r="Q396" s="26" t="n">
        <x:v>0.14224229511780181</x:v>
      </x:c>
      <x:c r="R396" s="24" t="n">
        <x:f>O396*P396*Q396</x:f>
        <x:v>18.946673709691204</x:v>
      </x:c>
      <x:c r="S396" s="24" t="n">
        <x:f>P396*(1-Q396)</x:f>
        <x:v>0.95211105241924</x:v>
      </x:c>
      <x:c r="T396" s="24" t="n">
        <x:f>O396*S396</x:f>
        <x:v>114.25332629030879</x:v>
      </x:c>
      <x:c r="U396" t="str">
        <x:v>NORTE</x:v>
      </x:c>
      <x:c r="V396" t="str">
        <x:v>Farmacia Norte</x:v>
      </x:c>
      <x:c r="W396" t="str">
        <x:v>Zona Norte</x:v>
      </x:c>
      <x:c r="X396" t="str">
        <x:v>Quito</x:v>
      </x:c>
      <x:c r="Y396" s="32" t="str">
        <x:v>Av. 10 de Agosto N45-20</x:v>
      </x:c>
      <x:c r="Z396" s="22" t="n">
        <x:v>46293</x:v>
      </x:c>
      <x:c r="AA396" t="str">
        <x:v>Recibido</x:v>
      </x:c>
      <x:c r="AB396" t="str">
        <x:v>60 días crédito</x:v>
      </x:c>
      <x:c r="AC396" s="32" t="str">
        <x:v>Descuento por volumen</x:v>
      </x:c>
    </x:row>
    <x:row r="397">
      <x:c r="A397" t="n">
        <x:v>396</x:v>
      </x:c>
      <x:c r="B397" s="22" t="n">
        <x:v>46290</x:v>
      </x:c>
      <x:c r="C397" t="str">
        <x:v>OC-2026-0396</x:v>
      </x:c>
      <x:c r="D397" t="str">
        <x:v>F-D001-202609-6321</x:v>
      </x:c>
      <x:c r="E397" t="str">
        <x:v>L2609-002-0396</x:v>
      </x:c>
      <x:c r="F397" t="str">
        <x:v>D001</x:v>
      </x:c>
      <x:c r="G397" s="32" t="str">
        <x:v>DistriFarma Andina S.A.</x:v>
      </x:c>
      <x:c r="H397" t="str">
        <x:v>MED002</x:v>
      </x:c>
      <x:c r="I397" s="32" t="str">
        <x:v>Ibuprofeno 400 mg</x:v>
      </x:c>
      <x:c r="J397" s="32" t="str">
        <x:v>Analgésicos</x:v>
      </x:c>
      <x:c r="K397" s="32" t="str">
        <x:v>La Santé</x:v>
      </x:c>
      <x:c r="L397" s="32" t="str">
        <x:v>Caja x 20 tabletas</x:v>
      </x:c>
      <x:c r="M397" s="28" t="n">
        <x:v>3</x:v>
      </x:c>
      <x:c r="N397" s="28" t="n">
        <x:v>24</x:v>
      </x:c>
      <x:c r="O397" s="28" t="n">
        <x:f>M397*N397</x:f>
        <x:v>72</x:v>
      </x:c>
      <x:c r="P397" s="24" t="n">
        <x:v>1.32</x:v>
      </x:c>
      <x:c r="Q397" s="26" t="n">
        <x:v>0.06324858760862294</x:v>
      </x:c>
      <x:c r="R397" s="24" t="n">
        <x:f>O397*P397*Q397</x:f>
        <x:v>6.011145766323525</x:v>
      </x:c>
      <x:c r="S397" s="24" t="n">
        <x:f>P397*(1-Q397)</x:f>
        <x:v>1.2365118643566178</x:v>
      </x:c>
      <x:c r="T397" s="24" t="n">
        <x:f>O397*S397</x:f>
        <x:v>89.02885423367648</x:v>
      </x:c>
      <x:c r="U397" t="str">
        <x:v>CENTRO</x:v>
      </x:c>
      <x:c r="V397" t="str">
        <x:v>Farmacia Centro Histórico</x:v>
      </x:c>
      <x:c r="W397" t="str">
        <x:v>Zona Centro</x:v>
      </x:c>
      <x:c r="X397" t="str">
        <x:v>Quito</x:v>
      </x:c>
      <x:c r="Y397" s="32" t="str">
        <x:v>Guayaquil y Chile</x:v>
      </x:c>
      <x:c r="Z397" s="22" t="n">
        <x:v>46291</x:v>
      </x:c>
      <x:c r="AA397" t="str">
        <x:v>Recibido</x:v>
      </x:c>
      <x:c r="AB397" t="str">
        <x:v>30 días crédito</x:v>
      </x:c>
      <x:c r="AC397" s="32" t="str">
        <x:v>Entrega coordinada fuera de horario regular</x:v>
      </x:c>
    </x:row>
    <x:row r="398">
      <x:c r="A398" t="n">
        <x:v>397</x:v>
      </x:c>
      <x:c r="B398" s="22" t="n">
        <x:v>46206</x:v>
      </x:c>
      <x:c r="C398" t="str">
        <x:v>OC-2026-0397</x:v>
      </x:c>
      <x:c r="D398" t="str">
        <x:v>F-D002-202607-9710</x:v>
      </x:c>
      <x:c r="E398" t="str">
        <x:v>L2607-010-0397</x:v>
      </x:c>
      <x:c r="F398" t="str">
        <x:v>D002</x:v>
      </x:c>
      <x:c r="G398" s="32" t="str">
        <x:v>MedSupply Ecuador Cía. Ltda.</x:v>
      </x:c>
      <x:c r="H398" t="str">
        <x:v>MED010</x:v>
      </x:c>
      <x:c r="I398" s="32" t="str">
        <x:v>Aspirina 100 mg</x:v>
      </x:c>
      <x:c r="J398" s="32" t="str">
        <x:v>Cardiovasculares</x:v>
      </x:c>
      <x:c r="K398" s="32" t="str">
        <x:v>Bayer</x:v>
      </x:c>
      <x:c r="L398" s="32" t="str">
        <x:v>Caja x 30 tabletas</x:v>
      </x:c>
      <x:c r="M398" s="28" t="n">
        <x:v>3</x:v>
      </x:c>
      <x:c r="N398" s="28" t="n">
        <x:v>50</x:v>
      </x:c>
      <x:c r="O398" s="28" t="n">
        <x:f>M398*N398</x:f>
        <x:v>150</x:v>
      </x:c>
      <x:c r="P398" s="24" t="n">
        <x:v>1.8</x:v>
      </x:c>
      <x:c r="Q398" s="26" t="n">
        <x:v>0.0714587435602698</x:v>
      </x:c>
      <x:c r="R398" s="24" t="n">
        <x:f>O398*P398*Q398</x:f>
        <x:v>19.293860761272846</x:v>
      </x:c>
      <x:c r="S398" s="24" t="n">
        <x:f>P398*(1-Q398)</x:f>
        <x:v>1.6713742615915144</x:v>
      </x:c>
      <x:c r="T398" s="24" t="n">
        <x:f>O398*S398</x:f>
        <x:v>250.70613923872716</x:v>
      </x:c>
      <x:c r="U398" t="str">
        <x:v>NORTE</x:v>
      </x:c>
      <x:c r="V398" t="str">
        <x:v>Farmacia Norte</x:v>
      </x:c>
      <x:c r="W398" t="str">
        <x:v>Zona Norte</x:v>
      </x:c>
      <x:c r="X398" t="str">
        <x:v>Quito</x:v>
      </x:c>
      <x:c r="Y398" s="32" t="str">
        <x:v>Av. 10 de Agosto N45-20</x:v>
      </x:c>
      <x:c r="Z398" s="22" t="n">
        <x:v>46207</x:v>
      </x:c>
      <x:c r="AA398" t="str">
        <x:v>Recibido</x:v>
      </x:c>
      <x:c r="AB398" t="str">
        <x:v>15 días crédito</x:v>
      </x:c>
      <x:c r="AC398" s="32" t="str">
        <x:v>Entrega coordinada fuera de horario regular</x:v>
      </x:c>
    </x:row>
    <x:row r="399">
      <x:c r="A399" t="n">
        <x:v>398</x:v>
      </x:c>
      <x:c r="B399" s="22" t="n">
        <x:v>45937</x:v>
      </x:c>
      <x:c r="C399" t="str">
        <x:v>OC-2025-0398</x:v>
      </x:c>
      <x:c r="D399" t="str">
        <x:v>F-D002-202510-3404</x:v>
      </x:c>
      <x:c r="E399" t="str">
        <x:v>L2510-006-0398</x:v>
      </x:c>
      <x:c r="F399" t="str">
        <x:v>D002</x:v>
      </x:c>
      <x:c r="G399" s="32" t="str">
        <x:v>MedSupply Ecuador Cía. Ltda.</x:v>
      </x:c>
      <x:c r="H399" t="str">
        <x:v>MED006</x:v>
      </x:c>
      <x:c r="I399" s="32" t="str">
        <x:v>Vitamina C 1 g</x:v>
      </x:c>
      <x:c r="J399" s="32" t="str">
        <x:v>Vitaminas</x:v>
      </x:c>
      <x:c r="K399" s="32" t="str">
        <x:v>Novartis</x:v>
      </x:c>
      <x:c r="L399" s="32" t="str">
        <x:v>Tubo x 10 efervescentes</x:v>
      </x:c>
      <x:c r="M399" s="28" t="n">
        <x:v>6</x:v>
      </x:c>
      <x:c r="N399" s="28" t="n">
        <x:v>20</x:v>
      </x:c>
      <x:c r="O399" s="28" t="n">
        <x:f>M399*N399</x:f>
        <x:v>120</x:v>
      </x:c>
      <x:c r="P399" s="24" t="n">
        <x:v>2.4</x:v>
      </x:c>
      <x:c r="Q399" s="26" t="n">
        <x:v>0.0837520058518659</x:v>
      </x:c>
      <x:c r="R399" s="24" t="n">
        <x:f>O399*P399*Q399</x:f>
        <x:v>24.12057768533738</x:v>
      </x:c>
      <x:c r="S399" s="24" t="n">
        <x:f>P399*(1-Q399)</x:f>
        <x:v>2.1989951859555217</x:v>
      </x:c>
      <x:c r="T399" s="24" t="n">
        <x:f>O399*S399</x:f>
        <x:v>263.8794223146626</x:v>
      </x:c>
      <x:c r="U399" t="str">
        <x:v>VALLE</x:v>
      </x:c>
      <x:c r="V399" t="str">
        <x:v>Farmacia Valle de los Chillos</x:v>
      </x:c>
      <x:c r="W399" t="str">
        <x:v>Zona Valle</x:v>
      </x:c>
      <x:c r="X399" t="str">
        <x:v>Sangolquí</x:v>
      </x:c>
      <x:c r="Y399" s="32" t="str">
        <x:v>Av. Calderón 101</x:v>
      </x:c>
      <x:c r="Z399" s="22" t="n">
        <x:v>45939</x:v>
      </x:c>
      <x:c r="AA399" t="str">
        <x:v>Recibido</x:v>
      </x:c>
      <x:c r="AB399" t="str">
        <x:v>15 días crédito</x:v>
      </x:c>
      <x:c r="AC399" s="32" t="str"/>
    </x:row>
    <x:row r="400">
      <x:c r="A400" t="n">
        <x:v>399</x:v>
      </x:c>
      <x:c r="B400" s="22" t="n">
        <x:v>45962</x:v>
      </x:c>
      <x:c r="C400" t="str">
        <x:v>OC-2025-0399</x:v>
      </x:c>
      <x:c r="D400" t="str">
        <x:v>F-D005-202511-1272</x:v>
      </x:c>
      <x:c r="E400" t="str">
        <x:v>L2511-001-0399</x:v>
      </x:c>
      <x:c r="F400" t="str">
        <x:v>D005</x:v>
      </x:c>
      <x:c r="G400" s="32" t="str">
        <x:v>PharmaExpress Quito</x:v>
      </x:c>
      <x:c r="H400" t="str">
        <x:v>MED001</x:v>
      </x:c>
      <x:c r="I400" s="32" t="str">
        <x:v>Paracetamol 500 mg</x:v>
      </x:c>
      <x:c r="J400" s="32" t="str">
        <x:v>Analgésicos</x:v>
      </x:c>
      <x:c r="K400" s="32" t="str">
        <x:v>Genfar</x:v>
      </x:c>
      <x:c r="L400" s="32" t="str">
        <x:v>Caja x 20 tabletas</x:v>
      </x:c>
      <x:c r="M400" s="28" t="n">
        <x:v>18</x:v>
      </x:c>
      <x:c r="N400" s="28" t="n">
        <x:v>10</x:v>
      </x:c>
      <x:c r="O400" s="28" t="n">
        <x:f>M400*N400</x:f>
        <x:v>180</x:v>
      </x:c>
      <x:c r="P400" s="24" t="n">
        <x:v>0.78</x:v>
      </x:c>
      <x:c r="Q400" s="26" t="n">
        <x:v>0.09291297089752593</x:v>
      </x:c>
      <x:c r="R400" s="24" t="n">
        <x:f>O400*P400*Q400</x:f>
        <x:v>13.044981114012641</x:v>
      </x:c>
      <x:c r="S400" s="24" t="n">
        <x:f>P400*(1-Q400)</x:f>
        <x:v>0.7075278826999298</x:v>
      </x:c>
      <x:c r="T400" s="24" t="n">
        <x:f>O400*S400</x:f>
        <x:v>127.35501888598736</x:v>
      </x:c>
      <x:c r="U400" t="str">
        <x:v>VALLE</x:v>
      </x:c>
      <x:c r="V400" t="str">
        <x:v>Farmacia Valle de los Chillos</x:v>
      </x:c>
      <x:c r="W400" t="str">
        <x:v>Zona Valle</x:v>
      </x:c>
      <x:c r="X400" t="str">
        <x:v>Sangolquí</x:v>
      </x:c>
      <x:c r="Y400" s="32" t="str">
        <x:v>Av. Calderón 101</x:v>
      </x:c>
      <x:c r="Z400" s="22" t="n">
        <x:v>45963</x:v>
      </x:c>
      <x:c r="AA400" t="str">
        <x:v>Recibido</x:v>
      </x:c>
      <x:c r="AB400" t="str">
        <x:v>30 días crédito</x:v>
      </x:c>
      <x:c r="AC400" s="32" t="str">
        <x:v>Entrega coordinada fuera de horario regular</x:v>
      </x:c>
    </x:row>
    <x:row r="401">
      <x:c r="A401" t="n">
        <x:v>400</x:v>
      </x:c>
      <x:c r="B401" s="22" t="n">
        <x:v>45995</x:v>
      </x:c>
      <x:c r="C401" t="str">
        <x:v>OC-2025-0400</x:v>
      </x:c>
      <x:c r="D401" t="str">
        <x:v>F-D001-202512-7967</x:v>
      </x:c>
      <x:c r="E401" t="str">
        <x:v>L2512-001-0400</x:v>
      </x:c>
      <x:c r="F401" t="str">
        <x:v>D001</x:v>
      </x:c>
      <x:c r="G401" s="32" t="str">
        <x:v>DistriFarma Andina S.A.</x:v>
      </x:c>
      <x:c r="H401" t="str">
        <x:v>MED001</x:v>
      </x:c>
      <x:c r="I401" s="32" t="str">
        <x:v>Paracetamol 500 mg</x:v>
      </x:c>
      <x:c r="J401" s="32" t="str">
        <x:v>Analgésicos</x:v>
      </x:c>
      <x:c r="K401" s="32" t="str">
        <x:v>Genfar</x:v>
      </x:c>
      <x:c r="L401" s="32" t="str">
        <x:v>Caja x 20 tabletas</x:v>
      </x:c>
      <x:c r="M401" s="28" t="n">
        <x:v>5</x:v>
      </x:c>
      <x:c r="N401" s="28" t="n">
        <x:v>60</x:v>
      </x:c>
      <x:c r="O401" s="28" t="n">
        <x:f>M401*N401</x:f>
        <x:v>300</x:v>
      </x:c>
      <x:c r="P401" s="24" t="n">
        <x:v>0.74</x:v>
      </x:c>
      <x:c r="Q401" s="26" t="n">
        <x:v>0.08195429593226833</x:v>
      </x:c>
      <x:c r="R401" s="24" t="n">
        <x:f>O401*P401*Q401</x:f>
        <x:v>18.19385369696357</x:v>
      </x:c>
      <x:c r="S401" s="24" t="n">
        <x:f>P401*(1-Q401)</x:f>
        <x:v>0.6793538210101214</x:v>
      </x:c>
      <x:c r="T401" s="24" t="n">
        <x:f>O401*S401</x:f>
        <x:v>203.80614630303643</x:v>
      </x:c>
      <x:c r="U401" t="str">
        <x:v>VALLE</x:v>
      </x:c>
      <x:c r="V401" t="str">
        <x:v>Farmacia Valle de los Chillos</x:v>
      </x:c>
      <x:c r="W401" t="str">
        <x:v>Zona Valle</x:v>
      </x:c>
      <x:c r="X401" t="str">
        <x:v>Sangolquí</x:v>
      </x:c>
      <x:c r="Y401" s="32" t="str">
        <x:v>Av. Calderón 101</x:v>
      </x:c>
      <x:c r="Z401" s="22" t="n">
        <x:v>46000</x:v>
      </x:c>
      <x:c r="AA401" t="str">
        <x:v>Recibido</x:v>
      </x:c>
      <x:c r="AB401" t="str">
        <x:v>30 días crédito</x:v>
      </x:c>
      <x:c r="AC401" s="32" t="str"/>
    </x:row>
    <x:row r="402">
      <x:c r="A402" t="n">
        <x:v>401</x:v>
      </x:c>
      <x:c r="B402" s="22" t="n">
        <x:v>46305</x:v>
      </x:c>
      <x:c r="C402" t="str">
        <x:v>OC-2026-0401</x:v>
      </x:c>
      <x:c r="D402" t="str">
        <x:v>F-D008-202610-2018</x:v>
      </x:c>
      <x:c r="E402" t="str">
        <x:v>L2610-007-0401</x:v>
      </x:c>
      <x:c r="F402" t="str">
        <x:v>D008</x:v>
      </x:c>
      <x:c r="G402" s="32" t="str">
        <x:v>Mayorista MedicPlus</x:v>
      </x:c>
      <x:c r="H402" t="str">
        <x:v>MED007</x:v>
      </x:c>
      <x:c r="I402" s="32" t="str">
        <x:v>Omeprazol 20 mg</x:v>
      </x:c>
      <x:c r="J402" s="32" t="str">
        <x:v>Gastrointestinales</x:v>
      </x:c>
      <x:c r="K402" s="32" t="str">
        <x:v>La Santé</x:v>
      </x:c>
      <x:c r="L402" s="32" t="str">
        <x:v>Caja x 30 cápsulas</x:v>
      </x:c>
      <x:c r="M402" s="28" t="n">
        <x:v>12</x:v>
      </x:c>
      <x:c r="N402" s="28" t="n">
        <x:v>10</x:v>
      </x:c>
      <x:c r="O402" s="28" t="n">
        <x:f>M402*N402</x:f>
        <x:v>120</x:v>
      </x:c>
      <x:c r="P402" s="24" t="n">
        <x:v>3.25</x:v>
      </x:c>
      <x:c r="Q402" s="26" t="n">
        <x:v>0.12391449300426202</x:v>
      </x:c>
      <x:c r="R402" s="24" t="n">
        <x:f>O402*P402*Q402</x:f>
        <x:v>48.32665227166219</x:v>
      </x:c>
      <x:c r="S402" s="24" t="n">
        <x:f>P402*(1-Q402)</x:f>
        <x:v>2.847277897736148</x:v>
      </x:c>
      <x:c r="T402" s="24" t="n">
        <x:f>O402*S402</x:f>
        <x:v>341.6733477283378</x:v>
      </x:c>
      <x:c r="U402" t="str">
        <x:v>NORTE</x:v>
      </x:c>
      <x:c r="V402" t="str">
        <x:v>Farmacia Norte</x:v>
      </x:c>
      <x:c r="W402" t="str">
        <x:v>Zona Norte</x:v>
      </x:c>
      <x:c r="X402" t="str">
        <x:v>Quito</x:v>
      </x:c>
      <x:c r="Y402" s="32" t="str">
        <x:v>Av. 10 de Agosto N45-20</x:v>
      </x:c>
      <x:c r="Z402" s="22" t="n">
        <x:v>46307</x:v>
      </x:c>
      <x:c r="AA402" t="str">
        <x:v>Recibido</x:v>
      </x:c>
      <x:c r="AB402" t="str">
        <x:v>30 días crédito</x:v>
      </x:c>
      <x:c r="AC402" s="32" t="str"/>
    </x:row>
    <x:row r="403">
      <x:c r="A403" t="n">
        <x:v>402</x:v>
      </x:c>
      <x:c r="B403" s="22" t="n">
        <x:v>45681</x:v>
      </x:c>
      <x:c r="C403" t="str">
        <x:v>OC-2025-0402</x:v>
      </x:c>
      <x:c r="D403" t="str">
        <x:v>F-D007-202501-6719</x:v>
      </x:c>
      <x:c r="E403" t="str">
        <x:v>L2501-015-0402</x:v>
      </x:c>
      <x:c r="F403" t="str">
        <x:v>D007</x:v>
      </x:c>
      <x:c r="G403" s="32" t="str">
        <x:v>Comercializadora BioFarma</x:v>
      </x:c>
      <x:c r="H403" t="str">
        <x:v>MED015</x:v>
      </x:c>
      <x:c r="I403" s="32" t="str">
        <x:v>Producto descontinuado</x:v>
      </x:c>
      <x:c r="J403" s="32" t="str">
        <x:v>Vitaminas</x:v>
      </x:c>
      <x:c r="K403" s="32" t="str">
        <x:v>MEDICAMENTA</x:v>
      </x:c>
      <x:c r="L403" s="32" t="str">
        <x:v>Caja x 20</x:v>
      </x:c>
      <x:c r="M403" s="28" t="n">
        <x:v>1</x:v>
      </x:c>
      <x:c r="N403" s="28" t="n">
        <x:v>60</x:v>
      </x:c>
      <x:c r="O403" s="28" t="n">
        <x:f>M403*N403</x:f>
        <x:v>60</x:v>
      </x:c>
      <x:c r="P403" s="24" t="n">
        <x:v>5.87</x:v>
      </x:c>
      <x:c r="Q403" s="26" t="n">
        <x:v>0.09003360551885732</x:v>
      </x:c>
      <x:c r="R403" s="24" t="n">
        <x:f>O403*P403*Q403</x:f>
        <x:v>31.709835863741546</x:v>
      </x:c>
      <x:c r="S403" s="24" t="n">
        <x:f>P403*(1-Q403)</x:f>
        <x:v>5.341502735604307</x:v>
      </x:c>
      <x:c r="T403" s="24" t="n">
        <x:f>O403*S403</x:f>
        <x:v>320.49016413625844</x:v>
      </x:c>
      <x:c r="U403" t="str">
        <x:v>CENTRO</x:v>
      </x:c>
      <x:c r="V403" t="str">
        <x:v>Farmacia Centro Histórico</x:v>
      </x:c>
      <x:c r="W403" t="str">
        <x:v>Zona Centro</x:v>
      </x:c>
      <x:c r="X403" t="str">
        <x:v>Quito</x:v>
      </x:c>
      <x:c r="Y403" s="32" t="str">
        <x:v>Guayaquil y Chile</x:v>
      </x:c>
      <x:c r="Z403" s="22" t="n">
        <x:v>45682</x:v>
      </x:c>
      <x:c r="AA403" t="str">
        <x:v>Recibido</x:v>
      </x:c>
      <x:c r="AB403" t="str">
        <x:v>15 días crédito</x:v>
      </x:c>
      <x:c r="AC403" s="32" t="str">
        <x:v>Compra controlada: producto descontinuado</x:v>
      </x:c>
    </x:row>
    <x:row r="404">
      <x:c r="A404" t="n">
        <x:v>403</x:v>
      </x:c>
      <x:c r="B404" s="22" t="n">
        <x:v>45666</x:v>
      </x:c>
      <x:c r="C404" t="str">
        <x:v>OC-2025-0403</x:v>
      </x:c>
      <x:c r="D404" t="str">
        <x:v>F-D001-202501-7343</x:v>
      </x:c>
      <x:c r="E404" t="str">
        <x:v>L2501-005-0403</x:v>
      </x:c>
      <x:c r="F404" t="str">
        <x:v>D001</x:v>
      </x:c>
      <x:c r="G404" s="32" t="str">
        <x:v>DistriFarma Andina S.A.</x:v>
      </x:c>
      <x:c r="H404" t="str">
        <x:v>MED005</x:v>
      </x:c>
      <x:c r="I404" s="32" t="str">
        <x:v>Loratadina 10 mg</x:v>
      </x:c>
      <x:c r="J404" s="32" t="str">
        <x:v>Antigripales</x:v>
      </x:c>
      <x:c r="K404" s="32" t="str">
        <x:v>Genfar</x:v>
      </x:c>
      <x:c r="L404" s="32" t="str">
        <x:v>Caja x 10 tabletas</x:v>
      </x:c>
      <x:c r="M404" s="28" t="n">
        <x:v>4</x:v>
      </x:c>
      <x:c r="N404" s="28" t="n">
        <x:v>50</x:v>
      </x:c>
      <x:c r="O404" s="28" t="n">
        <x:f>M404*N404</x:f>
        <x:v>200</x:v>
      </x:c>
      <x:c r="P404" s="24" t="n">
        <x:v>1.03</x:v>
      </x:c>
      <x:c r="Q404" s="26" t="n">
        <x:v>0.07328418782091348</x:v>
      </x:c>
      <x:c r="R404" s="24" t="n">
        <x:f>O404*P404*Q404</x:f>
        <x:v>15.096542691108176</x:v>
      </x:c>
      <x:c r="S404" s="24" t="n">
        <x:f>P404*(1-Q404)</x:f>
        <x:v>0.9545172865444591</x:v>
      </x:c>
      <x:c r="T404" s="24" t="n">
        <x:f>O404*S404</x:f>
        <x:v>190.90345730889183</x:v>
      </x:c>
      <x:c r="U404" t="str">
        <x:v>SUR</x:v>
      </x:c>
      <x:c r="V404" t="str">
        <x:v>Farmacia del Sur</x:v>
      </x:c>
      <x:c r="W404" t="str">
        <x:v>Zona Sur</x:v>
      </x:c>
      <x:c r="X404" t="str">
        <x:v>Quito</x:v>
      </x:c>
      <x:c r="Y404" s="32" t="str">
        <x:v>Av. Maldonado S25-10</x:v>
      </x:c>
      <x:c r="Z404" s="22" t="n">
        <x:v>45669</x:v>
      </x:c>
      <x:c r="AA404" t="str">
        <x:v>Recibido</x:v>
      </x:c>
      <x:c r="AB404" t="str">
        <x:v>30 días crédito</x:v>
      </x:c>
      <x:c r="AC404" s="32" t="str">
        <x:v>Entrega coordinada fuera de horario regular</x:v>
      </x:c>
    </x:row>
    <x:row r="405">
      <x:c r="A405" t="n">
        <x:v>404</x:v>
      </x:c>
      <x:c r="B405" s="22" t="n">
        <x:v>46180</x:v>
      </x:c>
      <x:c r="C405" t="str">
        <x:v>OC-2026-0404</x:v>
      </x:c>
      <x:c r="D405" t="str">
        <x:v>F-D005-202606-5662</x:v>
      </x:c>
      <x:c r="E405" t="str">
        <x:v>L2606-012-0404</x:v>
      </x:c>
      <x:c r="F405" t="str">
        <x:v>D005</x:v>
      </x:c>
      <x:c r="G405" s="32" t="str">
        <x:v>PharmaExpress Quito</x:v>
      </x:c>
      <x:c r="H405" t="str">
        <x:v>MED012</x:v>
      </x:c>
      <x:c r="I405" s="32" t="str">
        <x:v>Multivitamínico adulto</x:v>
      </x:c>
      <x:c r="J405" s="32" t="str">
        <x:v>Vitaminas</x:v>
      </x:c>
      <x:c r="K405" s="32" t="str">
        <x:v>Novartis</x:v>
      </x:c>
      <x:c r="L405" s="32" t="str">
        <x:v>Frasco x 30 tabletas</x:v>
      </x:c>
      <x:c r="M405" s="28" t="n">
        <x:v>8</x:v>
      </x:c>
      <x:c r="N405" s="28" t="n">
        <x:v>50</x:v>
      </x:c>
      <x:c r="O405" s="28" t="n">
        <x:f>M405*N405</x:f>
        <x:v>400</x:v>
      </x:c>
      <x:c r="P405" s="24" t="n">
        <x:v>4.21</x:v>
      </x:c>
      <x:c r="Q405" s="26" t="n">
        <x:v>0.053473900044124355</x:v>
      </x:c>
      <x:c r="R405" s="24" t="n">
        <x:f>O405*P405*Q405</x:f>
        <x:v>90.05004767430542</x:v>
      </x:c>
      <x:c r="S405" s="24" t="n">
        <x:f>P405*(1-Q405)</x:f>
        <x:v>3.9848748808142367</x:v>
      </x:c>
      <x:c r="T405" s="24" t="n">
        <x:f>O405*S405</x:f>
        <x:v>1593.9499523256948</x:v>
      </x:c>
      <x:c r="U405" t="str">
        <x:v>SUR</x:v>
      </x:c>
      <x:c r="V405" t="str">
        <x:v>Farmacia del Sur</x:v>
      </x:c>
      <x:c r="W405" t="str">
        <x:v>Zona Sur</x:v>
      </x:c>
      <x:c r="X405" t="str">
        <x:v>Quito</x:v>
      </x:c>
      <x:c r="Y405" s="32" t="str">
        <x:v>Av. Maldonado S25-10</x:v>
      </x:c>
      <x:c r="Z405" s="22" t="n">
        <x:v>46183</x:v>
      </x:c>
      <x:c r="AA405" t="str">
        <x:v>Recibido</x:v>
      </x:c>
      <x:c r="AB405" t="str">
        <x:v>30 días crédito</x:v>
      </x:c>
      <x:c r="AC405" s="32" t="str"/>
    </x:row>
    <x:row r="406">
      <x:c r="A406" t="n">
        <x:v>405</x:v>
      </x:c>
      <x:c r="B406" s="22" t="n">
        <x:v>46146</x:v>
      </x:c>
      <x:c r="C406" t="str">
        <x:v>OC-2026-0405</x:v>
      </x:c>
      <x:c r="D406" t="str">
        <x:v>F-D003-202605-2143</x:v>
      </x:c>
      <x:c r="E406" t="str">
        <x:v>L2605-002-0405</x:v>
      </x:c>
      <x:c r="F406" t="str">
        <x:v>D003</x:v>
      </x:c>
      <x:c r="G406" s="32" t="str">
        <x:v>FarmaLogística Sierra</x:v>
      </x:c>
      <x:c r="H406" t="str">
        <x:v>MED002</x:v>
      </x:c>
      <x:c r="I406" s="32" t="str">
        <x:v>Ibuprofeno 400 mg</x:v>
      </x:c>
      <x:c r="J406" s="32" t="str">
        <x:v>Analgésicos</x:v>
      </x:c>
      <x:c r="K406" s="32" t="str">
        <x:v>La Santé</x:v>
      </x:c>
      <x:c r="L406" s="32" t="str">
        <x:v>Caja x 20 tabletas</x:v>
      </x:c>
      <x:c r="M406" s="28" t="n">
        <x:v>4</x:v>
      </x:c>
      <x:c r="N406" s="28" t="n">
        <x:v>30</x:v>
      </x:c>
      <x:c r="O406" s="28" t="n">
        <x:f>M406*N406</x:f>
        <x:v>120</x:v>
      </x:c>
      <x:c r="P406" s="24" t="n">
        <x:v>1.14</x:v>
      </x:c>
      <x:c r="Q406" s="26" t="n">
        <x:v>0.05792372122712782</x:v>
      </x:c>
      <x:c r="R406" s="24" t="n">
        <x:f>O406*P406*Q406</x:f>
        <x:v>7.923965063871085</x:v>
      </x:c>
      <x:c r="S406" s="24" t="n">
        <x:f>P406*(1-Q406)</x:f>
        <x:v>1.0739669578010742</x:v>
      </x:c>
      <x:c r="T406" s="24" t="n">
        <x:f>O406*S406</x:f>
        <x:v>128.87603493612892</x:v>
      </x:c>
      <x:c r="U406" t="str">
        <x:v>SUR</x:v>
      </x:c>
      <x:c r="V406" t="str">
        <x:v>Farmacia del Sur</x:v>
      </x:c>
      <x:c r="W406" t="str">
        <x:v>Zona Sur</x:v>
      </x:c>
      <x:c r="X406" t="str">
        <x:v>Quito</x:v>
      </x:c>
      <x:c r="Y406" s="32" t="str">
        <x:v>Av. Maldonado S25-10</x:v>
      </x:c>
      <x:c r="Z406" s="22" t="n">
        <x:v>46147</x:v>
      </x:c>
      <x:c r="AA406" t="str">
        <x:v>Recibido</x:v>
      </x:c>
      <x:c r="AB406" t="str">
        <x:v>Contado contra entrega</x:v>
      </x:c>
      <x:c r="AC406" s="32" t="str"/>
    </x:row>
    <x:row r="407">
      <x:c r="A407" t="n">
        <x:v>406</x:v>
      </x:c>
      <x:c r="B407" s="22" t="n">
        <x:v>46248</x:v>
      </x:c>
      <x:c r="C407" t="str">
        <x:v>OC-2026-0406</x:v>
      </x:c>
      <x:c r="D407" t="str">
        <x:v>F-D008-202608-7556</x:v>
      </x:c>
      <x:c r="E407" t="str">
        <x:v>L2608-002-0406</x:v>
      </x:c>
      <x:c r="F407" t="str">
        <x:v>D008</x:v>
      </x:c>
      <x:c r="G407" s="32" t="str">
        <x:v>Mayorista MedicPlus</x:v>
      </x:c>
      <x:c r="H407" t="str">
        <x:v>MED002</x:v>
      </x:c>
      <x:c r="I407" s="32" t="str">
        <x:v>Ibuprofeno 400 mg</x:v>
      </x:c>
      <x:c r="J407" s="32" t="str">
        <x:v>Analgésicos</x:v>
      </x:c>
      <x:c r="K407" s="32" t="str">
        <x:v>La Santé</x:v>
      </x:c>
      <x:c r="L407" s="32" t="str">
        <x:v>Caja x 20 tabletas</x:v>
      </x:c>
      <x:c r="M407" s="28" t="n">
        <x:v>2</x:v>
      </x:c>
      <x:c r="N407" s="28" t="n">
        <x:v>50</x:v>
      </x:c>
      <x:c r="O407" s="28" t="n">
        <x:f>M407*N407</x:f>
        <x:v>100</x:v>
      </x:c>
      <x:c r="P407" s="24" t="n">
        <x:v>1.32</x:v>
      </x:c>
      <x:c r="Q407" s="26" t="n">
        <x:v>0.08352964939880084</x:v>
      </x:c>
      <x:c r="R407" s="24" t="n">
        <x:f>O407*P407*Q407</x:f>
        <x:v>11.02591372064171</x:v>
      </x:c>
      <x:c r="S407" s="24" t="n">
        <x:f>P407*(1-Q407)</x:f>
        <x:v>1.209740862793583</x:v>
      </x:c>
      <x:c r="T407" s="24" t="n">
        <x:f>O407*S407</x:f>
        <x:v>120.9740862793583</x:v>
      </x:c>
      <x:c r="U407" t="str">
        <x:v>CENTRO</x:v>
      </x:c>
      <x:c r="V407" t="str">
        <x:v>Farmacia Centro Histórico</x:v>
      </x:c>
      <x:c r="W407" t="str">
        <x:v>Zona Centro</x:v>
      </x:c>
      <x:c r="X407" t="str">
        <x:v>Quito</x:v>
      </x:c>
      <x:c r="Y407" s="32" t="str">
        <x:v>Guayaquil y Chile</x:v>
      </x:c>
      <x:c r="Z407" s="22" t="n">
        <x:v>46249</x:v>
      </x:c>
      <x:c r="AA407" t="str">
        <x:v>Recibido</x:v>
      </x:c>
      <x:c r="AB407" t="str">
        <x:v>30 días crédito</x:v>
      </x:c>
      <x:c r="AC407" s="32" t="str">
        <x:v>Entrega coordinada fuera de horario regular</x:v>
      </x:c>
    </x:row>
    <x:row r="408">
      <x:c r="A408" t="n">
        <x:v>407</x:v>
      </x:c>
      <x:c r="B408" s="22" t="n">
        <x:v>46193</x:v>
      </x:c>
      <x:c r="C408" t="str">
        <x:v>OC-2026-0407</x:v>
      </x:c>
      <x:c r="D408" t="str">
        <x:v>F-D005-202606-8777</x:v>
      </x:c>
      <x:c r="E408" t="str">
        <x:v>L2606-005-0407</x:v>
      </x:c>
      <x:c r="F408" t="str">
        <x:v>D005</x:v>
      </x:c>
      <x:c r="G408" s="32" t="str">
        <x:v>PharmaExpress Quito</x:v>
      </x:c>
      <x:c r="H408" t="str">
        <x:v>MED005</x:v>
      </x:c>
      <x:c r="I408" s="32" t="str">
        <x:v>Loratadina 10 mg</x:v>
      </x:c>
      <x:c r="J408" s="32" t="str">
        <x:v>Antigripales</x:v>
      </x:c>
      <x:c r="K408" s="32" t="str">
        <x:v>Genfar</x:v>
      </x:c>
      <x:c r="L408" s="32" t="str">
        <x:v>Caja x 10 tabletas</x:v>
      </x:c>
      <x:c r="M408" s="28" t="n">
        <x:v>8</x:v>
      </x:c>
      <x:c r="N408" s="28" t="n">
        <x:v>50</x:v>
      </x:c>
      <x:c r="O408" s="28" t="n">
        <x:f>M408*N408</x:f>
        <x:v>400</x:v>
      </x:c>
      <x:c r="P408" s="24" t="n">
        <x:v>1.08</x:v>
      </x:c>
      <x:c r="Q408" s="26" t="n">
        <x:v>0.08855879757719662</x:v>
      </x:c>
      <x:c r="R408" s="24" t="n">
        <x:f>O408*P408*Q408</x:f>
        <x:v>38.25740055334894</x:v>
      </x:c>
      <x:c r="S408" s="24" t="n">
        <x:f>P408*(1-Q408)</x:f>
        <x:v>0.9843564986166277</x:v>
      </x:c>
      <x:c r="T408" s="24" t="n">
        <x:f>O408*S408</x:f>
        <x:v>393.74259944665107</x:v>
      </x:c>
      <x:c r="U408" t="str">
        <x:v>NORTE</x:v>
      </x:c>
      <x:c r="V408" t="str">
        <x:v>Farmacia Norte</x:v>
      </x:c>
      <x:c r="W408" t="str">
        <x:v>Zona Norte</x:v>
      </x:c>
      <x:c r="X408" t="str">
        <x:v>Quito</x:v>
      </x:c>
      <x:c r="Y408" s="32" t="str">
        <x:v>Av. 10 de Agosto N45-20</x:v>
      </x:c>
      <x:c r="Z408" s="22" t="n">
        <x:v>46196</x:v>
      </x:c>
      <x:c r="AA408" t="str">
        <x:v>Recibido</x:v>
      </x:c>
      <x:c r="AB408" t="str">
        <x:v>30 días crédito</x:v>
      </x:c>
      <x:c r="AC408" s="32" t="str"/>
    </x:row>
    <x:row r="409">
      <x:c r="A409" t="n">
        <x:v>408</x:v>
      </x:c>
      <x:c r="B409" s="22" t="n">
        <x:v>45769</x:v>
      </x:c>
      <x:c r="C409" t="str">
        <x:v>OC-2025-0408</x:v>
      </x:c>
      <x:c r="D409" t="str">
        <x:v>F-D004-202504-7674</x:v>
      </x:c>
      <x:c r="E409" t="str">
        <x:v>L2504-013-0408</x:v>
      </x:c>
      <x:c r="F409" t="str">
        <x:v>D004</x:v>
      </x:c>
      <x:c r="G409" s="32" t="str">
        <x:v>Distribuidora Salud Total</x:v>
      </x:c>
      <x:c r="H409" t="str">
        <x:v>MED013</x:v>
      </x:c>
      <x:c r="I409" s="32" t="str">
        <x:v>Probióticos</x:v>
      </x:c>
      <x:c r="J409" s="32" t="str">
        <x:v>Gastrointestinales</x:v>
      </x:c>
      <x:c r="K409" s="32" t="str">
        <x:v>Laboratorios Bagó</x:v>
      </x:c>
      <x:c r="L409" s="32" t="str">
        <x:v>Caja x 10 sobres</x:v>
      </x:c>
      <x:c r="M409" s="28" t="n">
        <x:v>16</x:v>
      </x:c>
      <x:c r="N409" s="28" t="n">
        <x:v>30</x:v>
      </x:c>
      <x:c r="O409" s="28" t="n">
        <x:f>M409*N409</x:f>
        <x:v>480</x:v>
      </x:c>
      <x:c r="P409" s="24" t="n">
        <x:v>5.42</x:v>
      </x:c>
      <x:c r="Q409" s="26" t="n">
        <x:v>0.12841446708339727</x:v>
      </x:c>
      <x:c r="R409" s="24" t="n">
        <x:f>O409*P409*Q409</x:f>
        <x:v>334.08307756416633</x:v>
      </x:c>
      <x:c r="S409" s="24" t="n">
        <x:f>P409*(1-Q409)</x:f>
        <x:v>4.723993588407986</x:v>
      </x:c>
      <x:c r="T409" s="24" t="n">
        <x:f>O409*S409</x:f>
        <x:v>2267.5169224358333</x:v>
      </x:c>
      <x:c r="U409" t="str">
        <x:v>VALLE</x:v>
      </x:c>
      <x:c r="V409" t="str">
        <x:v>Farmacia Valle de los Chillos</x:v>
      </x:c>
      <x:c r="W409" t="str">
        <x:v>Zona Valle</x:v>
      </x:c>
      <x:c r="X409" t="str">
        <x:v>Sangolquí</x:v>
      </x:c>
      <x:c r="Y409" s="32" t="str">
        <x:v>Av. Calderón 101</x:v>
      </x:c>
      <x:c r="Z409" s="22" t="n">
        <x:v>45770</x:v>
      </x:c>
      <x:c r="AA409" t="str">
        <x:v>Recibido</x:v>
      </x:c>
      <x:c r="AB409" t="str">
        <x:v>45 días crédito</x:v>
      </x:c>
      <x:c r="AC409" s="32" t="str"/>
    </x:row>
    <x:row r="410">
      <x:c r="A410" t="n">
        <x:v>409</x:v>
      </x:c>
      <x:c r="B410" s="22" t="n">
        <x:v>45819</x:v>
      </x:c>
      <x:c r="C410" t="str">
        <x:v>OC-2025-0409</x:v>
      </x:c>
      <x:c r="D410" t="str">
        <x:v>F-D007-202506-1823</x:v>
      </x:c>
      <x:c r="E410" t="str">
        <x:v>L2506-015-0409</x:v>
      </x:c>
      <x:c r="F410" t="str">
        <x:v>D007</x:v>
      </x:c>
      <x:c r="G410" s="32" t="str">
        <x:v>Comercializadora BioFarma</x:v>
      </x:c>
      <x:c r="H410" t="str">
        <x:v>MED015</x:v>
      </x:c>
      <x:c r="I410" s="32" t="str">
        <x:v>Producto descontinuado</x:v>
      </x:c>
      <x:c r="J410" s="32" t="str">
        <x:v>Vitaminas</x:v>
      </x:c>
      <x:c r="K410" s="32" t="str">
        <x:v>MEDICAMENTA</x:v>
      </x:c>
      <x:c r="L410" s="32" t="str">
        <x:v>Caja x 20</x:v>
      </x:c>
      <x:c r="M410" s="28" t="n">
        <x:v>2</x:v>
      </x:c>
      <x:c r="N410" s="28" t="n">
        <x:v>24</x:v>
      </x:c>
      <x:c r="O410" s="28" t="n">
        <x:f>M410*N410</x:f>
        <x:v>48</x:v>
      </x:c>
      <x:c r="P410" s="24" t="n">
        <x:v>5.67</x:v>
      </x:c>
      <x:c r="Q410" s="26" t="n">
        <x:v>0.0922414930442564</x:v>
      </x:c>
      <x:c r="R410" s="24" t="n">
        <x:f>O410*P410*Q410</x:f>
        <x:v>25.10444474692482</x:v>
      </x:c>
      <x:c r="S410" s="24" t="n">
        <x:f>P410*(1-Q410)</x:f>
        <x:v>5.146990734439066</x:v>
      </x:c>
      <x:c r="T410" s="24" t="n">
        <x:f>O410*S410</x:f>
        <x:v>247.05555525307517</x:v>
      </x:c>
      <x:c r="U410" t="str">
        <x:v>VALLE</x:v>
      </x:c>
      <x:c r="V410" t="str">
        <x:v>Farmacia Valle de los Chillos</x:v>
      </x:c>
      <x:c r="W410" t="str">
        <x:v>Zona Valle</x:v>
      </x:c>
      <x:c r="X410" t="str">
        <x:v>Sangolquí</x:v>
      </x:c>
      <x:c r="Y410" s="32" t="str">
        <x:v>Av. Calderón 101</x:v>
      </x:c>
      <x:c r="Z410" s="22" t="n">
        <x:v>45820</x:v>
      </x:c>
      <x:c r="AA410" t="str">
        <x:v>Recibido</x:v>
      </x:c>
      <x:c r="AB410" t="str">
        <x:v>15 días crédito</x:v>
      </x:c>
      <x:c r="AC410" s="32" t="str">
        <x:v>Compra controlada: producto descontinuado</x:v>
      </x:c>
    </x:row>
    <x:row r="411">
      <x:c r="A411" t="n">
        <x:v>410</x:v>
      </x:c>
      <x:c r="B411" s="22" t="n">
        <x:v>45812</x:v>
      </x:c>
      <x:c r="C411" t="str">
        <x:v>OC-2025-0410</x:v>
      </x:c>
      <x:c r="D411" t="str">
        <x:v>F-D008-202506-5031</x:v>
      </x:c>
      <x:c r="E411" t="str">
        <x:v>L2506-013-0410</x:v>
      </x:c>
      <x:c r="F411" t="str">
        <x:v>D008</x:v>
      </x:c>
      <x:c r="G411" s="32" t="str">
        <x:v>Mayorista MedicPlus</x:v>
      </x:c>
      <x:c r="H411" t="str">
        <x:v>MED013</x:v>
      </x:c>
      <x:c r="I411" s="32" t="str">
        <x:v>Probióticos</x:v>
      </x:c>
      <x:c r="J411" s="32" t="str">
        <x:v>Gastrointestinales</x:v>
      </x:c>
      <x:c r="K411" s="32" t="str">
        <x:v>Laboratorios Bagó</x:v>
      </x:c>
      <x:c r="L411" s="32" t="str">
        <x:v>Caja x 10 sobres</x:v>
      </x:c>
      <x:c r="M411" s="28" t="n">
        <x:v>6</x:v>
      </x:c>
      <x:c r="N411" s="28" t="n">
        <x:v>30</x:v>
      </x:c>
      <x:c r="O411" s="28" t="n">
        <x:f>M411*N411</x:f>
        <x:v>180</x:v>
      </x:c>
      <x:c r="P411" s="24" t="n">
        <x:v>5.02</x:v>
      </x:c>
      <x:c r="Q411" s="26" t="n">
        <x:v>0.10661420241591381</x:v>
      </x:c>
      <x:c r="R411" s="24" t="n">
        <x:f>O411*P411*Q411</x:f>
        <x:v>96.33659330301971</x:v>
      </x:c>
      <x:c r="S411" s="24" t="n">
        <x:f>P411*(1-Q411)</x:f>
        <x:v>4.484796703872112</x:v>
      </x:c>
      <x:c r="T411" s="24" t="n">
        <x:f>O411*S411</x:f>
        <x:v>807.2634066969802</x:v>
      </x:c>
      <x:c r="U411" t="str">
        <x:v>CENTRO</x:v>
      </x:c>
      <x:c r="V411" t="str">
        <x:v>Farmacia Centro Histórico</x:v>
      </x:c>
      <x:c r="W411" t="str">
        <x:v>Zona Centro</x:v>
      </x:c>
      <x:c r="X411" t="str">
        <x:v>Quito</x:v>
      </x:c>
      <x:c r="Y411" s="32" t="str">
        <x:v>Guayaquil y Chile</x:v>
      </x:c>
      <x:c r="Z411" s="22" t="n">
        <x:v>45813</x:v>
      </x:c>
      <x:c r="AA411" t="str">
        <x:v>Recibido</x:v>
      </x:c>
      <x:c r="AB411" t="str">
        <x:v>30 días crédito</x:v>
      </x:c>
      <x:c r="AC411" s="32" t="str"/>
    </x:row>
    <x:row r="412">
      <x:c r="A412" t="n">
        <x:v>411</x:v>
      </x:c>
      <x:c r="B412" s="22" t="n">
        <x:v>46072</x:v>
      </x:c>
      <x:c r="C412" t="str">
        <x:v>OC-2026-0411</x:v>
      </x:c>
      <x:c r="D412" t="str">
        <x:v>F-D006-202602-1570</x:v>
      </x:c>
      <x:c r="E412" t="str">
        <x:v>L2602-009-0411</x:v>
      </x:c>
      <x:c r="F412" t="str">
        <x:v>D006</x:v>
      </x:c>
      <x:c r="G412" s="32" t="str">
        <x:v>Insumos Médicos del Pacífico</x:v>
      </x:c>
      <x:c r="H412" t="str">
        <x:v>MED009</x:v>
      </x:c>
      <x:c r="I412" s="32" t="str">
        <x:v>Losartán 50 mg</x:v>
      </x:c>
      <x:c r="J412" s="32" t="str">
        <x:v>Cardiovasculares</x:v>
      </x:c>
      <x:c r="K412" s="32" t="str">
        <x:v>Laboratorios Bagó</x:v>
      </x:c>
      <x:c r="L412" s="32" t="str">
        <x:v>Caja x 30 tabletas</x:v>
      </x:c>
      <x:c r="M412" s="28" t="n">
        <x:v>20</x:v>
      </x:c>
      <x:c r="N412" s="28" t="n">
        <x:v>10</x:v>
      </x:c>
      <x:c r="O412" s="28" t="n">
        <x:f>M412*N412</x:f>
        <x:v>200</x:v>
      </x:c>
      <x:c r="P412" s="24" t="n">
        <x:v>3.26</x:v>
      </x:c>
      <x:c r="Q412" s="26" t="n">
        <x:v>0.11971875014267234</x:v>
      </x:c>
      <x:c r="R412" s="24" t="n">
        <x:f>O412*P412*Q412</x:f>
        <x:v>78.05662509302238</x:v>
      </x:c>
      <x:c r="S412" s="24" t="n">
        <x:f>P412*(1-Q412)</x:f>
        <x:v>2.869716874534888</x:v>
      </x:c>
      <x:c r="T412" s="24" t="n">
        <x:f>O412*S412</x:f>
        <x:v>573.9433749069776</x:v>
      </x:c>
      <x:c r="U412" t="str">
        <x:v>CENTRO</x:v>
      </x:c>
      <x:c r="V412" t="str">
        <x:v>Farmacia Centro Histórico</x:v>
      </x:c>
      <x:c r="W412" t="str">
        <x:v>Zona Centro</x:v>
      </x:c>
      <x:c r="X412" t="str">
        <x:v>Quito</x:v>
      </x:c>
      <x:c r="Y412" s="32" t="str">
        <x:v>Guayaquil y Chile</x:v>
      </x:c>
      <x:c r="Z412" s="22" t="n">
        <x:v>46073</x:v>
      </x:c>
      <x:c r="AA412" t="str">
        <x:v>Recibido</x:v>
      </x:c>
      <x:c r="AB412" t="str">
        <x:v>60 días crédito</x:v>
      </x:c>
      <x:c r="AC412" s="32" t="str"/>
    </x:row>
    <x:row r="413">
      <x:c r="A413" t="n">
        <x:v>412</x:v>
      </x:c>
      <x:c r="B413" s="22" t="n">
        <x:v>45746</x:v>
      </x:c>
      <x:c r="C413" t="str">
        <x:v>OC-2025-0412</x:v>
      </x:c>
      <x:c r="D413" t="str">
        <x:v>F-D008-202503-8928</x:v>
      </x:c>
      <x:c r="E413" t="str">
        <x:v>L2503-002-0412</x:v>
      </x:c>
      <x:c r="F413" t="str">
        <x:v>D008</x:v>
      </x:c>
      <x:c r="G413" s="32" t="str">
        <x:v>Mayorista MedicPlus</x:v>
      </x:c>
      <x:c r="H413" t="str">
        <x:v>MED002</x:v>
      </x:c>
      <x:c r="I413" s="32" t="str">
        <x:v>Ibuprofeno 400 mg</x:v>
      </x:c>
      <x:c r="J413" s="32" t="str">
        <x:v>Analgésicos</x:v>
      </x:c>
      <x:c r="K413" s="32" t="str">
        <x:v>La Santé</x:v>
      </x:c>
      <x:c r="L413" s="32" t="str">
        <x:v>Caja x 20 tabletas</x:v>
      </x:c>
      <x:c r="M413" s="28" t="n">
        <x:v>13</x:v>
      </x:c>
      <x:c r="N413" s="28" t="n">
        <x:v>24</x:v>
      </x:c>
      <x:c r="O413" s="28" t="n">
        <x:f>M413*N413</x:f>
        <x:v>312</x:v>
      </x:c>
      <x:c r="P413" s="24" t="n">
        <x:v>1.12</x:v>
      </x:c>
      <x:c r="Q413" s="26" t="n">
        <x:v>0.11141671980718314</x:v>
      </x:c>
      <x:c r="R413" s="24" t="n">
        <x:f>O413*P413*Q413</x:f>
        <x:v>38.93345856942208</x:v>
      </x:c>
      <x:c r="S413" s="24" t="n">
        <x:f>P413*(1-Q413)</x:f>
        <x:v>0.9952132738159549</x:v>
      </x:c>
      <x:c r="T413" s="24" t="n">
        <x:f>O413*S413</x:f>
        <x:v>310.50654143057795</x:v>
      </x:c>
      <x:c r="U413" t="str">
        <x:v>NORTE</x:v>
      </x:c>
      <x:c r="V413" t="str">
        <x:v>Farmacia Norte</x:v>
      </x:c>
      <x:c r="W413" t="str">
        <x:v>Zona Norte</x:v>
      </x:c>
      <x:c r="X413" t="str">
        <x:v>Quito</x:v>
      </x:c>
      <x:c r="Y413" s="32" t="str">
        <x:v>Av. 10 de Agosto N45-20</x:v>
      </x:c>
      <x:c r="Z413" s="22" t="n">
        <x:v>45747</x:v>
      </x:c>
      <x:c r="AA413" t="str">
        <x:v>Recibido</x:v>
      </x:c>
      <x:c r="AB413" t="str">
        <x:v>30 días crédito</x:v>
      </x:c>
      <x:c r="AC413" s="32" t="str"/>
    </x:row>
    <x:row r="414">
      <x:c r="A414" t="n">
        <x:v>413</x:v>
      </x:c>
      <x:c r="B414" s="22" t="n">
        <x:v>45988</x:v>
      </x:c>
      <x:c r="C414" t="str">
        <x:v>OC-2025-0413</x:v>
      </x:c>
      <x:c r="D414" t="str">
        <x:v>F-D005-202511-1614</x:v>
      </x:c>
      <x:c r="E414" t="str">
        <x:v>L2511-008-0413</x:v>
      </x:c>
      <x:c r="F414" t="str">
        <x:v>D005</x:v>
      </x:c>
      <x:c r="G414" s="32" t="str">
        <x:v>PharmaExpress Quito</x:v>
      </x:c>
      <x:c r="H414" t="str">
        <x:v>MED008</x:v>
      </x:c>
      <x:c r="I414" s="32" t="str">
        <x:v>Diclofenaco gel</x:v>
      </x:c>
      <x:c r="J414" s="32" t="str">
        <x:v>Dermatológicos</x:v>
      </x:c>
      <x:c r="K414" s="32" t="str">
        <x:v>Bayer</x:v>
      </x:c>
      <x:c r="L414" s="32" t="str">
        <x:v>Tubo 50 g</x:v>
      </x:c>
      <x:c r="M414" s="28" t="n">
        <x:v>4</x:v>
      </x:c>
      <x:c r="N414" s="28" t="n">
        <x:v>30</x:v>
      </x:c>
      <x:c r="O414" s="28" t="n">
        <x:f>M414*N414</x:f>
        <x:v>120</x:v>
      </x:c>
      <x:c r="P414" s="24" t="n">
        <x:v>2.17</x:v>
      </x:c>
      <x:c r="Q414" s="26" t="n">
        <x:v>0.06794856305632302</x:v>
      </x:c>
      <x:c r="R414" s="24" t="n">
        <x:f>O414*P414*Q414</x:f>
        <x:v>17.693805819866512</x:v>
      </x:c>
      <x:c r="S414" s="24" t="n">
        <x:f>P414*(1-Q414)</x:f>
        <x:v>2.022551618167779</x:v>
      </x:c>
      <x:c r="T414" s="24" t="n">
        <x:f>O414*S414</x:f>
        <x:v>242.7061941801335</x:v>
      </x:c>
      <x:c r="U414" t="str">
        <x:v>NORTE</x:v>
      </x:c>
      <x:c r="V414" t="str">
        <x:v>Farmacia Norte</x:v>
      </x:c>
      <x:c r="W414" t="str">
        <x:v>Zona Norte</x:v>
      </x:c>
      <x:c r="X414" t="str">
        <x:v>Quito</x:v>
      </x:c>
      <x:c r="Y414" s="32" t="str">
        <x:v>Av. 10 de Agosto N45-20</x:v>
      </x:c>
      <x:c r="Z414" s="22" t="n">
        <x:v>45990</x:v>
      </x:c>
      <x:c r="AA414" t="str">
        <x:v>Recibido</x:v>
      </x:c>
      <x:c r="AB414" t="str">
        <x:v>30 días crédito</x:v>
      </x:c>
      <x:c r="AC414" s="32" t="str">
        <x:v>Entrega coordinada fuera de horario regular</x:v>
      </x:c>
    </x:row>
    <x:row r="415">
      <x:c r="A415" t="n">
        <x:v>414</x:v>
      </x:c>
      <x:c r="B415" s="22" t="n">
        <x:v>46115</x:v>
      </x:c>
      <x:c r="C415" t="str">
        <x:v>OC-2026-0414</x:v>
      </x:c>
      <x:c r="D415" t="str">
        <x:v>F-D004-202604-7754</x:v>
      </x:c>
      <x:c r="E415" t="str">
        <x:v>L2604-009-0414</x:v>
      </x:c>
      <x:c r="F415" t="str">
        <x:v>D004</x:v>
      </x:c>
      <x:c r="G415" s="32" t="str">
        <x:v>Distribuidora Salud Total</x:v>
      </x:c>
      <x:c r="H415" t="str">
        <x:v>MED009</x:v>
      </x:c>
      <x:c r="I415" s="32" t="str">
        <x:v>Losartán 50 mg</x:v>
      </x:c>
      <x:c r="J415" s="32" t="str">
        <x:v>Cardiovasculares</x:v>
      </x:c>
      <x:c r="K415" s="32" t="str">
        <x:v>Laboratorios Bagó</x:v>
      </x:c>
      <x:c r="L415" s="32" t="str">
        <x:v>Caja x 30 tabletas</x:v>
      </x:c>
      <x:c r="M415" s="28" t="n">
        <x:v>6</x:v>
      </x:c>
      <x:c r="N415" s="28" t="n">
        <x:v>20</x:v>
      </x:c>
      <x:c r="O415" s="28" t="n">
        <x:f>M415*N415</x:f>
        <x:v>120</x:v>
      </x:c>
      <x:c r="P415" s="24" t="n">
        <x:v>3.36</x:v>
      </x:c>
      <x:c r="Q415" s="26" t="n">
        <x:v>0.13155032346025486</x:v>
      </x:c>
      <x:c r="R415" s="24" t="n">
        <x:f>O415*P415*Q415</x:f>
        <x:v>53.04109041917476</x:v>
      </x:c>
      <x:c r="S415" s="24" t="n">
        <x:f>P415*(1-Q415)</x:f>
        <x:v>2.9179909131735435</x:v>
      </x:c>
      <x:c r="T415" s="24" t="n">
        <x:f>O415*S415</x:f>
        <x:v>350.15890958082525</x:v>
      </x:c>
      <x:c r="U415" t="str">
        <x:v>NORTE</x:v>
      </x:c>
      <x:c r="V415" t="str">
        <x:v>Farmacia Norte</x:v>
      </x:c>
      <x:c r="W415" t="str">
        <x:v>Zona Norte</x:v>
      </x:c>
      <x:c r="X415" t="str">
        <x:v>Quito</x:v>
      </x:c>
      <x:c r="Y415" s="32" t="str">
        <x:v>Av. 10 de Agosto N45-20</x:v>
      </x:c>
      <x:c r="Z415" s="22" t="n">
        <x:v>46118</x:v>
      </x:c>
      <x:c r="AA415" t="str">
        <x:v>Recibido</x:v>
      </x:c>
      <x:c r="AB415" t="str">
        <x:v>45 días crédito</x:v>
      </x:c>
      <x:c r="AC415" s="32" t="str">
        <x:v>Descuento por volumen</x:v>
      </x:c>
    </x:row>
    <x:row r="416">
      <x:c r="A416" t="n">
        <x:v>415</x:v>
      </x:c>
      <x:c r="B416" s="22" t="n">
        <x:v>46118</x:v>
      </x:c>
      <x:c r="C416" t="str">
        <x:v>OC-2026-0415</x:v>
      </x:c>
      <x:c r="D416" t="str">
        <x:v>F-D003-202604-2900</x:v>
      </x:c>
      <x:c r="E416" t="str">
        <x:v>L2604-001-0415</x:v>
      </x:c>
      <x:c r="F416" t="str">
        <x:v>D003</x:v>
      </x:c>
      <x:c r="G416" s="32" t="str">
        <x:v>FarmaLogística Sierra</x:v>
      </x:c>
      <x:c r="H416" t="str">
        <x:v>MED001</x:v>
      </x:c>
      <x:c r="I416" s="32" t="str">
        <x:v>Paracetamol 500 mg</x:v>
      </x:c>
      <x:c r="J416" s="32" t="str">
        <x:v>Analgésicos</x:v>
      </x:c>
      <x:c r="K416" s="32" t="str">
        <x:v>Genfar</x:v>
      </x:c>
      <x:c r="L416" s="32" t="str">
        <x:v>Caja x 20 tabletas</x:v>
      </x:c>
      <x:c r="M416" s="28" t="n">
        <x:v>18</x:v>
      </x:c>
      <x:c r="N416" s="28" t="n">
        <x:v>20</x:v>
      </x:c>
      <x:c r="O416" s="28" t="n">
        <x:f>M416*N416</x:f>
        <x:v>360</x:v>
      </x:c>
      <x:c r="P416" s="24" t="n">
        <x:v>0.89</x:v>
      </x:c>
      <x:c r="Q416" s="26" t="n">
        <x:v>0.06902694955615726</x:v>
      </x:c>
      <x:c r="R416" s="24" t="n">
        <x:f>O416*P416*Q416</x:f>
        <x:v>22.116234637792786</x:v>
      </x:c>
      <x:c r="S416" s="24" t="n">
        <x:f>P416*(1-Q416)</x:f>
        <x:v>0.82856601489502</x:v>
      </x:c>
      <x:c r="T416" s="24" t="n">
        <x:f>O416*S416</x:f>
        <x:v>298.2837653622072</x:v>
      </x:c>
      <x:c r="U416" t="str">
        <x:v>CENTRO</x:v>
      </x:c>
      <x:c r="V416" t="str">
        <x:v>Farmacia Centro Histórico</x:v>
      </x:c>
      <x:c r="W416" t="str">
        <x:v>Zona Centro</x:v>
      </x:c>
      <x:c r="X416" t="str">
        <x:v>Quito</x:v>
      </x:c>
      <x:c r="Y416" s="32" t="str">
        <x:v>Guayaquil y Chile</x:v>
      </x:c>
      <x:c r="Z416" s="22" t="n">
        <x:v>46121</x:v>
      </x:c>
      <x:c r="AA416" t="str">
        <x:v>Recibido</x:v>
      </x:c>
      <x:c r="AB416" t="str">
        <x:v>Contado contra entrega</x:v>
      </x:c>
      <x:c r="AC416" s="32" t="str"/>
    </x:row>
    <x:row r="417">
      <x:c r="A417" t="n">
        <x:v>416</x:v>
      </x:c>
      <x:c r="B417" s="22" t="n">
        <x:v>45810</x:v>
      </x:c>
      <x:c r="C417" t="str">
        <x:v>OC-2025-0416</x:v>
      </x:c>
      <x:c r="D417" t="str">
        <x:v>F-D004-202506-8557</x:v>
      </x:c>
      <x:c r="E417" t="str">
        <x:v>L2506-013-0416</x:v>
      </x:c>
      <x:c r="F417" t="str">
        <x:v>D004</x:v>
      </x:c>
      <x:c r="G417" s="32" t="str">
        <x:v>Distribuidora Salud Total</x:v>
      </x:c>
      <x:c r="H417" t="str">
        <x:v>MED013</x:v>
      </x:c>
      <x:c r="I417" s="32" t="str">
        <x:v>Probióticos</x:v>
      </x:c>
      <x:c r="J417" s="32" t="str">
        <x:v>Gastrointestinales</x:v>
      </x:c>
      <x:c r="K417" s="32" t="str">
        <x:v>Laboratorios Bagó</x:v>
      </x:c>
      <x:c r="L417" s="32" t="str">
        <x:v>Caja x 10 sobres</x:v>
      </x:c>
      <x:c r="M417" s="28" t="n">
        <x:v>6</x:v>
      </x:c>
      <x:c r="N417" s="28" t="n">
        <x:v>30</x:v>
      </x:c>
      <x:c r="O417" s="28" t="n">
        <x:f>M417*N417</x:f>
        <x:v>180</x:v>
      </x:c>
      <x:c r="P417" s="24" t="n">
        <x:v>5.51</x:v>
      </x:c>
      <x:c r="Q417" s="26" t="n">
        <x:v>0.09316413827095174</x:v>
      </x:c>
      <x:c r="R417" s="24" t="n">
        <x:f>O417*P417*Q417</x:f>
        <x:v>92.40019233712994</x:v>
      </x:c>
      <x:c r="S417" s="24" t="n">
        <x:f>P417*(1-Q417)</x:f>
        <x:v>4.996665598127056</x:v>
      </x:c>
      <x:c r="T417" s="24" t="n">
        <x:f>O417*S417</x:f>
        <x:v>899.39980766287</x:v>
      </x:c>
      <x:c r="U417" t="str">
        <x:v>CENTRO</x:v>
      </x:c>
      <x:c r="V417" t="str">
        <x:v>Farmacia Centro Histórico</x:v>
      </x:c>
      <x:c r="W417" t="str">
        <x:v>Zona Centro</x:v>
      </x:c>
      <x:c r="X417" t="str">
        <x:v>Quito</x:v>
      </x:c>
      <x:c r="Y417" s="32" t="str">
        <x:v>Guayaquil y Chile</x:v>
      </x:c>
      <x:c r="Z417" s="22" t="n">
        <x:v>45814</x:v>
      </x:c>
      <x:c r="AA417" t="str">
        <x:v>Recibido</x:v>
      </x:c>
      <x:c r="AB417" t="str">
        <x:v>45 días crédito</x:v>
      </x:c>
      <x:c r="AC417" s="32" t="str"/>
    </x:row>
    <x:row r="418">
      <x:c r="A418" t="n">
        <x:v>417</x:v>
      </x:c>
      <x:c r="B418" s="22" t="n">
        <x:v>45820</x:v>
      </x:c>
      <x:c r="C418" t="str">
        <x:v>OC-2025-0417</x:v>
      </x:c>
      <x:c r="D418" t="str">
        <x:v>F-D008-202506-6600</x:v>
      </x:c>
      <x:c r="E418" t="str">
        <x:v>L2506-013-0417</x:v>
      </x:c>
      <x:c r="F418" t="str">
        <x:v>D008</x:v>
      </x:c>
      <x:c r="G418" s="32" t="str">
        <x:v>Mayorista MedicPlus</x:v>
      </x:c>
      <x:c r="H418" t="str">
        <x:v>MED013</x:v>
      </x:c>
      <x:c r="I418" s="32" t="str">
        <x:v>Probióticos</x:v>
      </x:c>
      <x:c r="J418" s="32" t="str">
        <x:v>Gastrointestinales</x:v>
      </x:c>
      <x:c r="K418" s="32" t="str">
        <x:v>Laboratorios Bagó</x:v>
      </x:c>
      <x:c r="L418" s="32" t="str">
        <x:v>Caja x 10 sobres</x:v>
      </x:c>
      <x:c r="M418" s="28" t="n">
        <x:v>5</x:v>
      </x:c>
      <x:c r="N418" s="28" t="n">
        <x:v>30</x:v>
      </x:c>
      <x:c r="O418" s="28" t="n">
        <x:f>M418*N418</x:f>
        <x:v>150</x:v>
      </x:c>
      <x:c r="P418" s="24" t="n">
        <x:v>5.11</x:v>
      </x:c>
      <x:c r="Q418" s="26" t="n">
        <x:v>0.12188865007404565</x:v>
      </x:c>
      <x:c r="R418" s="24" t="n">
        <x:f>O418*P418*Q418</x:f>
        <x:v>93.42765028175599</x:v>
      </x:c>
      <x:c r="S418" s="24" t="n">
        <x:f>P418*(1-Q418)</x:f>
        <x:v>4.487148998121627</x:v>
      </x:c>
      <x:c r="T418" s="24" t="n">
        <x:f>O418*S418</x:f>
        <x:v>673.072349718244</x:v>
      </x:c>
      <x:c r="U418" t="str">
        <x:v>SUR</x:v>
      </x:c>
      <x:c r="V418" t="str">
        <x:v>Farmacia del Sur</x:v>
      </x:c>
      <x:c r="W418" t="str">
        <x:v>Zona Sur</x:v>
      </x:c>
      <x:c r="X418" t="str">
        <x:v>Quito</x:v>
      </x:c>
      <x:c r="Y418" s="32" t="str">
        <x:v>Av. Maldonado S25-10</x:v>
      </x:c>
      <x:c r="Z418" s="22" t="n">
        <x:v>45822</x:v>
      </x:c>
      <x:c r="AA418" t="str">
        <x:v>Recibido</x:v>
      </x:c>
      <x:c r="AB418" t="str">
        <x:v>30 días crédito</x:v>
      </x:c>
      <x:c r="AC418" s="32" t="str">
        <x:v>Entrega coordinada fuera de horario regular</x:v>
      </x:c>
    </x:row>
    <x:row r="419">
      <x:c r="A419" t="n">
        <x:v>418</x:v>
      </x:c>
      <x:c r="B419" s="22" t="n">
        <x:v>46174</x:v>
      </x:c>
      <x:c r="C419" t="str">
        <x:v>OC-2026-0418</x:v>
      </x:c>
      <x:c r="D419" t="str">
        <x:v>F-D004-202606-9678</x:v>
      </x:c>
      <x:c r="E419" t="str">
        <x:v>L2606-011-0418</x:v>
      </x:c>
      <x:c r="F419" t="str">
        <x:v>D004</x:v>
      </x:c>
      <x:c r="G419" s="32" t="str">
        <x:v>Distribuidora Salud Total</x:v>
      </x:c>
      <x:c r="H419" t="str">
        <x:v>MED011</x:v>
      </x:c>
      <x:c r="I419" s="32" t="str">
        <x:v>Jarabe antigripal</x:v>
      </x:c>
      <x:c r="J419" s="32" t="str">
        <x:v>Antigripales</x:v>
      </x:c>
      <x:c r="K419" s="32" t="str">
        <x:v>MEDICAMENTA</x:v>
      </x:c>
      <x:c r="L419" s="32" t="str">
        <x:v>Frasco 120 ml</x:v>
      </x:c>
      <x:c r="M419" s="28" t="n">
        <x:v>8</x:v>
      </x:c>
      <x:c r="N419" s="28" t="n">
        <x:v>10</x:v>
      </x:c>
      <x:c r="O419" s="28" t="n">
        <x:f>M419*N419</x:f>
        <x:v>80</x:v>
      </x:c>
      <x:c r="P419" s="24" t="n">
        <x:v>3.02</x:v>
      </x:c>
      <x:c r="Q419" s="26" t="n">
        <x:v>0.12777690402135014</x:v>
      </x:c>
      <x:c r="R419" s="24" t="n">
        <x:f>O419*P419*Q419</x:f>
        <x:v>30.87090001155819</x:v>
      </x:c>
      <x:c r="S419" s="24" t="n">
        <x:f>P419*(1-Q419)</x:f>
        <x:v>2.6341137498555227</x:v>
      </x:c>
      <x:c r="T419" s="24" t="n">
        <x:f>O419*S419</x:f>
        <x:v>210.72909998844182</x:v>
      </x:c>
      <x:c r="U419" t="str">
        <x:v>CENTRO</x:v>
      </x:c>
      <x:c r="V419" t="str">
        <x:v>Farmacia Centro Histórico</x:v>
      </x:c>
      <x:c r="W419" t="str">
        <x:v>Zona Centro</x:v>
      </x:c>
      <x:c r="X419" t="str">
        <x:v>Quito</x:v>
      </x:c>
      <x:c r="Y419" s="32" t="str">
        <x:v>Guayaquil y Chile</x:v>
      </x:c>
      <x:c r="Z419" s="22" t="n">
        <x:v>46175</x:v>
      </x:c>
      <x:c r="AA419" t="str">
        <x:v>Recibido</x:v>
      </x:c>
      <x:c r="AB419" t="str">
        <x:v>45 días crédito</x:v>
      </x:c>
      <x:c r="AC419" s="32" t="str"/>
    </x:row>
    <x:row r="420">
      <x:c r="A420" t="n">
        <x:v>419</x:v>
      </x:c>
      <x:c r="B420" s="22" t="n">
        <x:v>45737</x:v>
      </x:c>
      <x:c r="C420" t="str">
        <x:v>OC-2025-0419</x:v>
      </x:c>
      <x:c r="D420" t="str">
        <x:v>F-D001-202503-6562</x:v>
      </x:c>
      <x:c r="E420" t="str">
        <x:v>L2503-005-0419</x:v>
      </x:c>
      <x:c r="F420" t="str">
        <x:v>D001</x:v>
      </x:c>
      <x:c r="G420" s="32" t="str">
        <x:v>DistriFarma Andina S.A.</x:v>
      </x:c>
      <x:c r="H420" t="str">
        <x:v>MED005</x:v>
      </x:c>
      <x:c r="I420" s="32" t="str">
        <x:v>Loratadina 10 mg</x:v>
      </x:c>
      <x:c r="J420" s="32" t="str">
        <x:v>Antigripales</x:v>
      </x:c>
      <x:c r="K420" s="32" t="str">
        <x:v>Genfar</x:v>
      </x:c>
      <x:c r="L420" s="32" t="str">
        <x:v>Caja x 10 tabletas</x:v>
      </x:c>
      <x:c r="M420" s="28" t="n">
        <x:v>4</x:v>
      </x:c>
      <x:c r="N420" s="28" t="n">
        <x:v>50</x:v>
      </x:c>
      <x:c r="O420" s="28" t="n">
        <x:f>M420*N420</x:f>
        <x:v>200</x:v>
      </x:c>
      <x:c r="P420" s="24" t="n">
        <x:v>1.1</x:v>
      </x:c>
      <x:c r="Q420" s="26" t="n">
        <x:v>0.056249213505900106</x:v>
      </x:c>
      <x:c r="R420" s="24" t="n">
        <x:f>O420*P420*Q420</x:f>
        <x:v>12.374826971298026</x:v>
      </x:c>
      <x:c r="S420" s="24" t="n">
        <x:f>P420*(1-Q420)</x:f>
        <x:v>1.03812586514351</x:v>
      </x:c>
      <x:c r="T420" s="24" t="n">
        <x:f>O420*S420</x:f>
        <x:v>207.625173028702</x:v>
      </x:c>
      <x:c r="U420" t="str">
        <x:v>SUR</x:v>
      </x:c>
      <x:c r="V420" t="str">
        <x:v>Farmacia del Sur</x:v>
      </x:c>
      <x:c r="W420" t="str">
        <x:v>Zona Sur</x:v>
      </x:c>
      <x:c r="X420" t="str">
        <x:v>Quito</x:v>
      </x:c>
      <x:c r="Y420" s="32" t="str">
        <x:v>Av. Maldonado S25-10</x:v>
      </x:c>
      <x:c r="Z420" s="22" t="n">
        <x:v>45742</x:v>
      </x:c>
      <x:c r="AA420" t="str">
        <x:v>Recibido</x:v>
      </x:c>
      <x:c r="AB420" t="str">
        <x:v>30 días crédito</x:v>
      </x:c>
      <x:c r="AC420" s="32" t="str"/>
    </x:row>
    <x:row r="421">
      <x:c r="A421" t="n">
        <x:v>420</x:v>
      </x:c>
      <x:c r="B421" s="22" t="n">
        <x:v>46189</x:v>
      </x:c>
      <x:c r="C421" t="str">
        <x:v>OC-2026-0420</x:v>
      </x:c>
      <x:c r="D421" t="str">
        <x:v>F-D007-202606-6568</x:v>
      </x:c>
      <x:c r="E421" t="str">
        <x:v>L2606-003-0420</x:v>
      </x:c>
      <x:c r="F421" t="str">
        <x:v>D007</x:v>
      </x:c>
      <x:c r="G421" s="32" t="str">
        <x:v>Comercializadora BioFarma</x:v>
      </x:c>
      <x:c r="H421" t="str">
        <x:v>MED003</x:v>
      </x:c>
      <x:c r="I421" s="32" t="str">
        <x:v>Amoxicilina 500 mg</x:v>
      </x:c>
      <x:c r="J421" s="32" t="str">
        <x:v>Antibióticos</x:v>
      </x:c>
      <x:c r="K421" s="32" t="str">
        <x:v>Acromax</x:v>
      </x:c>
      <x:c r="L421" s="32" t="str">
        <x:v>Caja x 21 cápsulas</x:v>
      </x:c>
      <x:c r="M421" s="28" t="n">
        <x:v>4</x:v>
      </x:c>
      <x:c r="N421" s="28" t="n">
        <x:v>50</x:v>
      </x:c>
      <x:c r="O421" s="28" t="n">
        <x:f>M421*N421</x:f>
        <x:v>200</x:v>
      </x:c>
      <x:c r="P421" s="24" t="n">
        <x:v>3.96</x:v>
      </x:c>
      <x:c r="Q421" s="26" t="n">
        <x:v>0.05385105162492344</x:v>
      </x:c>
      <x:c r="R421" s="24" t="n">
        <x:f>O421*P421*Q421</x:f>
        <x:v>42.650032886939364</x:v>
      </x:c>
      <x:c r="S421" s="24" t="n">
        <x:f>P421*(1-Q421)</x:f>
        <x:v>3.746749835565303</x:v>
      </x:c>
      <x:c r="T421" s="24" t="n">
        <x:f>O421*S421</x:f>
        <x:v>749.3499671130606</x:v>
      </x:c>
      <x:c r="U421" t="str">
        <x:v>SUR</x:v>
      </x:c>
      <x:c r="V421" t="str">
        <x:v>Farmacia del Sur</x:v>
      </x:c>
      <x:c r="W421" t="str">
        <x:v>Zona Sur</x:v>
      </x:c>
      <x:c r="X421" t="str">
        <x:v>Quito</x:v>
      </x:c>
      <x:c r="Y421" s="32" t="str">
        <x:v>Av. Maldonado S25-10</x:v>
      </x:c>
      <x:c r="Z421" s="22" t="n">
        <x:v>46190</x:v>
      </x:c>
      <x:c r="AA421" t="str">
        <x:v>Recibido</x:v>
      </x:c>
      <x:c r="AB421" t="str">
        <x:v>15 días crédito</x:v>
      </x:c>
      <x:c r="AC421" s="32" t="str"/>
    </x:row>
    <x:row r="422">
      <x:c r="A422" t="n">
        <x:v>421</x:v>
      </x:c>
      <x:c r="B422" s="22" t="n">
        <x:v>45790</x:v>
      </x:c>
      <x:c r="C422" t="str">
        <x:v>OC-2025-0421</x:v>
      </x:c>
      <x:c r="D422" t="str">
        <x:v>F-D008-202505-1784</x:v>
      </x:c>
      <x:c r="E422" t="str">
        <x:v>L2505-013-0421</x:v>
      </x:c>
      <x:c r="F422" t="str">
        <x:v>D008</x:v>
      </x:c>
      <x:c r="G422" s="32" t="str">
        <x:v>Mayorista MedicPlus</x:v>
      </x:c>
      <x:c r="H422" t="str">
        <x:v>MED013</x:v>
      </x:c>
      <x:c r="I422" s="32" t="str">
        <x:v>Probióticos</x:v>
      </x:c>
      <x:c r="J422" s="32" t="str">
        <x:v>Gastrointestinales</x:v>
      </x:c>
      <x:c r="K422" s="32" t="str">
        <x:v>Laboratorios Bagó</x:v>
      </x:c>
      <x:c r="L422" s="32" t="str">
        <x:v>Caja x 10 sobres</x:v>
      </x:c>
      <x:c r="M422" s="28" t="n">
        <x:v>15</x:v>
      </x:c>
      <x:c r="N422" s="28" t="n">
        <x:v>24</x:v>
      </x:c>
      <x:c r="O422" s="28" t="n">
        <x:f>M422*N422</x:f>
        <x:v>360</x:v>
      </x:c>
      <x:c r="P422" s="24" t="n">
        <x:v>5.47</x:v>
      </x:c>
      <x:c r="Q422" s="26" t="n">
        <x:v>0.07079431182072339</x:v>
      </x:c>
      <x:c r="R422" s="24" t="n">
        <x:f>O422*P422*Q422</x:f>
        <x:v>139.4081588373685</x:v>
      </x:c>
      <x:c r="S422" s="24" t="n">
        <x:f>P422*(1-Q422)</x:f>
        <x:v>5.082755114340643</x:v>
      </x:c>
      <x:c r="T422" s="24" t="n">
        <x:f>O422*S422</x:f>
        <x:v>1829.7918411626315</x:v>
      </x:c>
      <x:c r="U422" t="str">
        <x:v>NORTE</x:v>
      </x:c>
      <x:c r="V422" t="str">
        <x:v>Farmacia Norte</x:v>
      </x:c>
      <x:c r="W422" t="str">
        <x:v>Zona Norte</x:v>
      </x:c>
      <x:c r="X422" t="str">
        <x:v>Quito</x:v>
      </x:c>
      <x:c r="Y422" s="32" t="str">
        <x:v>Av. 10 de Agosto N45-20</x:v>
      </x:c>
      <x:c r="Z422" s="22" t="n">
        <x:v>45792</x:v>
      </x:c>
      <x:c r="AA422" t="str">
        <x:v>Recibido</x:v>
      </x:c>
      <x:c r="AB422" t="str">
        <x:v>30 días crédito</x:v>
      </x:c>
      <x:c r="AC422" s="32" t="str"/>
    </x:row>
    <x:row r="423">
      <x:c r="A423" t="n">
        <x:v>422</x:v>
      </x:c>
      <x:c r="B423" s="22" t="n">
        <x:v>45938</x:v>
      </x:c>
      <x:c r="C423" t="str">
        <x:v>OC-2025-0422</x:v>
      </x:c>
      <x:c r="D423" t="str">
        <x:v>F-D004-202510-1548</x:v>
      </x:c>
      <x:c r="E423" t="str">
        <x:v>L2510-011-0422</x:v>
      </x:c>
      <x:c r="F423" t="str">
        <x:v>D004</x:v>
      </x:c>
      <x:c r="G423" s="32" t="str">
        <x:v>Distribuidora Salud Total</x:v>
      </x:c>
      <x:c r="H423" t="str">
        <x:v>MED011</x:v>
      </x:c>
      <x:c r="I423" s="32" t="str">
        <x:v>Jarabe antigripal</x:v>
      </x:c>
      <x:c r="J423" s="32" t="str">
        <x:v>Antigripales</x:v>
      </x:c>
      <x:c r="K423" s="32" t="str">
        <x:v>MEDICAMENTA</x:v>
      </x:c>
      <x:c r="L423" s="32" t="str">
        <x:v>Frasco 120 ml</x:v>
      </x:c>
      <x:c r="M423" s="28" t="n">
        <x:v>2</x:v>
      </x:c>
      <x:c r="N423" s="28" t="n">
        <x:v>60</x:v>
      </x:c>
      <x:c r="O423" s="28" t="n">
        <x:f>M423*N423</x:f>
        <x:v>120</x:v>
      </x:c>
      <x:c r="P423" s="24" t="n">
        <x:v>2.47</x:v>
      </x:c>
      <x:c r="Q423" s="26" t="n">
        <x:v>0.09976980261988048</x:v>
      </x:c>
      <x:c r="R423" s="24" t="n">
        <x:f>O423*P423*Q423</x:f>
        <x:v>29.57176949653258</x:v>
      </x:c>
      <x:c r="S423" s="24" t="n">
        <x:f>P423*(1-Q423)</x:f>
        <x:v>2.2235685875288955</x:v>
      </x:c>
      <x:c r="T423" s="24" t="n">
        <x:f>O423*S423</x:f>
        <x:v>266.82823050346747</x:v>
      </x:c>
      <x:c r="U423" t="str">
        <x:v>CENTRO</x:v>
      </x:c>
      <x:c r="V423" t="str">
        <x:v>Farmacia Centro Histórico</x:v>
      </x:c>
      <x:c r="W423" t="str">
        <x:v>Zona Centro</x:v>
      </x:c>
      <x:c r="X423" t="str">
        <x:v>Quito</x:v>
      </x:c>
      <x:c r="Y423" s="32" t="str">
        <x:v>Guayaquil y Chile</x:v>
      </x:c>
      <x:c r="Z423" s="22" t="n">
        <x:v>45942</x:v>
      </x:c>
      <x:c r="AA423" t="str">
        <x:v>Recibido</x:v>
      </x:c>
      <x:c r="AB423" t="str">
        <x:v>45 días crédito</x:v>
      </x:c>
      <x:c r="AC423" s="32" t="str">
        <x:v>Entrega coordinada fuera de horario regular</x:v>
      </x:c>
    </x:row>
    <x:row r="424">
      <x:c r="A424" t="n">
        <x:v>423</x:v>
      </x:c>
      <x:c r="B424" s="22" t="n">
        <x:v>46375</x:v>
      </x:c>
      <x:c r="C424" t="str">
        <x:v>OC-2026-0423</x:v>
      </x:c>
      <x:c r="D424" t="str">
        <x:v>F-D008-202612-1502</x:v>
      </x:c>
      <x:c r="E424" t="str">
        <x:v>L2612-005-0423</x:v>
      </x:c>
      <x:c r="F424" t="str">
        <x:v>D008</x:v>
      </x:c>
      <x:c r="G424" s="32" t="str">
        <x:v>Mayorista MedicPlus</x:v>
      </x:c>
      <x:c r="H424" t="str">
        <x:v>MED005</x:v>
      </x:c>
      <x:c r="I424" s="32" t="str">
        <x:v>Loratadina 10 mg</x:v>
      </x:c>
      <x:c r="J424" s="32" t="str">
        <x:v>Antigripales</x:v>
      </x:c>
      <x:c r="K424" s="32" t="str">
        <x:v>Genfar</x:v>
      </x:c>
      <x:c r="L424" s="32" t="str">
        <x:v>Caja x 10 tabletas</x:v>
      </x:c>
      <x:c r="M424" s="28" t="n">
        <x:v>8</x:v>
      </x:c>
      <x:c r="N424" s="28" t="n">
        <x:v>24</x:v>
      </x:c>
      <x:c r="O424" s="28" t="n">
        <x:f>M424*N424</x:f>
        <x:v>192</x:v>
      </x:c>
      <x:c r="P424" s="24" t="n">
        <x:v>1.17</x:v>
      </x:c>
      <x:c r="Q424" s="26" t="n">
        <x:v>0.07111542854088138</x:v>
      </x:c>
      <x:c r="R424" s="24" t="n">
        <x:f>O424*P424*Q424</x:f>
        <x:v>15.975369867423591</x:v>
      </x:c>
      <x:c r="S424" s="24" t="n">
        <x:f>P424*(1-Q424)</x:f>
        <x:v>1.0867949486071686</x:v>
      </x:c>
      <x:c r="T424" s="24" t="n">
        <x:f>O424*S424</x:f>
        <x:v>208.66463013257638</x:v>
      </x:c>
      <x:c r="U424" t="str">
        <x:v>VALLE</x:v>
      </x:c>
      <x:c r="V424" t="str">
        <x:v>Farmacia Valle de los Chillos</x:v>
      </x:c>
      <x:c r="W424" t="str">
        <x:v>Zona Valle</x:v>
      </x:c>
      <x:c r="X424" t="str">
        <x:v>Sangolquí</x:v>
      </x:c>
      <x:c r="Y424" s="32" t="str">
        <x:v>Av. Calderón 101</x:v>
      </x:c>
      <x:c r="Z424" s="22" t="n">
        <x:v>46377</x:v>
      </x:c>
      <x:c r="AA424" t="str">
        <x:v>Recibido</x:v>
      </x:c>
      <x:c r="AB424" t="str">
        <x:v>30 días crédito</x:v>
      </x:c>
      <x:c r="AC424" s="32" t="str"/>
    </x:row>
    <x:row r="425">
      <x:c r="A425" t="n">
        <x:v>424</x:v>
      </x:c>
      <x:c r="B425" s="22" t="n">
        <x:v>46055</x:v>
      </x:c>
      <x:c r="C425" t="str">
        <x:v>OC-2026-0424</x:v>
      </x:c>
      <x:c r="D425" t="str">
        <x:v>F-D004-202602-3493</x:v>
      </x:c>
      <x:c r="E425" t="str">
        <x:v>L2602-009-0424</x:v>
      </x:c>
      <x:c r="F425" t="str">
        <x:v>D004</x:v>
      </x:c>
      <x:c r="G425" s="32" t="str">
        <x:v>Distribuidora Salud Total</x:v>
      </x:c>
      <x:c r="H425" t="str">
        <x:v>MED009</x:v>
      </x:c>
      <x:c r="I425" s="32" t="str">
        <x:v>Losartán 50 mg</x:v>
      </x:c>
      <x:c r="J425" s="32" t="str">
        <x:v>Cardiovasculares</x:v>
      </x:c>
      <x:c r="K425" s="32" t="str">
        <x:v>Laboratorios Bagó</x:v>
      </x:c>
      <x:c r="L425" s="32" t="str">
        <x:v>Caja x 30 tabletas</x:v>
      </x:c>
      <x:c r="M425" s="28" t="n">
        <x:v>60</x:v>
      </x:c>
      <x:c r="N425" s="28" t="n">
        <x:v>10</x:v>
      </x:c>
      <x:c r="O425" s="28" t="n">
        <x:f>M425*N425</x:f>
        <x:v>600</x:v>
      </x:c>
      <x:c r="P425" s="24" t="n">
        <x:v>3.09</x:v>
      </x:c>
      <x:c r="Q425" s="26" t="n">
        <x:v>0.11150337449901973</x:v>
      </x:c>
      <x:c r="R425" s="24" t="n">
        <x:f>O425*P425*Q425</x:f>
        <x:v>206.72725632118258</x:v>
      </x:c>
      <x:c r="S425" s="24" t="n">
        <x:f>P425*(1-Q425)</x:f>
        <x:v>2.745454572798029</x:v>
      </x:c>
      <x:c r="T425" s="24" t="n">
        <x:f>O425*S425</x:f>
        <x:v>1647.2727436788175</x:v>
      </x:c>
      <x:c r="U425" t="str">
        <x:v>NORTE</x:v>
      </x:c>
      <x:c r="V425" t="str">
        <x:v>Farmacia Norte</x:v>
      </x:c>
      <x:c r="W425" t="str">
        <x:v>Zona Norte</x:v>
      </x:c>
      <x:c r="X425" t="str">
        <x:v>Quito</x:v>
      </x:c>
      <x:c r="Y425" s="32" t="str">
        <x:v>Av. 10 de Agosto N45-20</x:v>
      </x:c>
      <x:c r="Z425" s="22" t="n">
        <x:v>46057</x:v>
      </x:c>
      <x:c r="AA425" t="str">
        <x:v>Recibido</x:v>
      </x:c>
      <x:c r="AB425" t="str">
        <x:v>45 días crédito</x:v>
      </x:c>
      <x:c r="AC425" s="32" t="str"/>
    </x:row>
    <x:row r="426">
      <x:c r="A426" t="n">
        <x:v>425</x:v>
      </x:c>
      <x:c r="B426" s="22" t="n">
        <x:v>45934</x:v>
      </x:c>
      <x:c r="C426" t="str">
        <x:v>OC-2025-0425</x:v>
      </x:c>
      <x:c r="D426" t="str">
        <x:v>F-D002-202510-2620</x:v>
      </x:c>
      <x:c r="E426" t="str">
        <x:v>L2510-012-0425</x:v>
      </x:c>
      <x:c r="F426" t="str">
        <x:v>D002</x:v>
      </x:c>
      <x:c r="G426" s="32" t="str">
        <x:v>MedSupply Ecuador Cía. Ltda.</x:v>
      </x:c>
      <x:c r="H426" t="str">
        <x:v>MED012</x:v>
      </x:c>
      <x:c r="I426" s="32" t="str">
        <x:v>Multivitamínico adulto</x:v>
      </x:c>
      <x:c r="J426" s="32" t="str">
        <x:v>Vitaminas</x:v>
      </x:c>
      <x:c r="K426" s="32" t="str">
        <x:v>Novartis</x:v>
      </x:c>
      <x:c r="L426" s="32" t="str">
        <x:v>Frasco x 30 tabletas</x:v>
      </x:c>
      <x:c r="M426" s="28" t="n">
        <x:v>24</x:v>
      </x:c>
      <x:c r="N426" s="28" t="n">
        <x:v>20</x:v>
      </x:c>
      <x:c r="O426" s="28" t="n">
        <x:f>M426*N426</x:f>
        <x:v>480</x:v>
      </x:c>
      <x:c r="P426" s="24" t="n">
        <x:v>4.29</x:v>
      </x:c>
      <x:c r="Q426" s="26" t="n">
        <x:v>0.06874364462641025</x:v>
      </x:c>
      <x:c r="R426" s="24" t="n">
        <x:f>O426*P426*Q426</x:f>
        <x:v>141.55691301470398</x:v>
      </x:c>
      <x:c r="S426" s="24" t="n">
        <x:f>P426*(1-Q426)</x:f>
        <x:v>3.9950897645527</x:v>
      </x:c>
      <x:c r="T426" s="24" t="n">
        <x:f>O426*S426</x:f>
        <x:v>1917.643086985296</x:v>
      </x:c>
      <x:c r="U426" t="str">
        <x:v>NORTE</x:v>
      </x:c>
      <x:c r="V426" t="str">
        <x:v>Farmacia Norte</x:v>
      </x:c>
      <x:c r="W426" t="str">
        <x:v>Zona Norte</x:v>
      </x:c>
      <x:c r="X426" t="str">
        <x:v>Quito</x:v>
      </x:c>
      <x:c r="Y426" s="32" t="str">
        <x:v>Av. 10 de Agosto N45-20</x:v>
      </x:c>
      <x:c r="Z426" s="22" t="n">
        <x:v>45937</x:v>
      </x:c>
      <x:c r="AA426" t="str">
        <x:v>Recibido</x:v>
      </x:c>
      <x:c r="AB426" t="str">
        <x:v>15 días crédito</x:v>
      </x:c>
      <x:c r="AC426" s="32" t="str"/>
    </x:row>
    <x:row r="427">
      <x:c r="A427" t="n">
        <x:v>426</x:v>
      </x:c>
      <x:c r="B427" s="22" t="n">
        <x:v>46355</x:v>
      </x:c>
      <x:c r="C427" t="str">
        <x:v>OC-2026-0426</x:v>
      </x:c>
      <x:c r="D427" t="str">
        <x:v>F-D006-202611-5272</x:v>
      </x:c>
      <x:c r="E427" t="str">
        <x:v>L2611-007-0426</x:v>
      </x:c>
      <x:c r="F427" t="str">
        <x:v>D006</x:v>
      </x:c>
      <x:c r="G427" s="32" t="str">
        <x:v>Insumos Médicos del Pacífico</x:v>
      </x:c>
      <x:c r="H427" t="str">
        <x:v>MED007</x:v>
      </x:c>
      <x:c r="I427" s="32" t="str">
        <x:v>Omeprazol 20 mg</x:v>
      </x:c>
      <x:c r="J427" s="32" t="str">
        <x:v>Gastrointestinales</x:v>
      </x:c>
      <x:c r="K427" s="32" t="str">
        <x:v>La Santé</x:v>
      </x:c>
      <x:c r="L427" s="32" t="str">
        <x:v>Caja x 30 cápsulas</x:v>
      </x:c>
      <x:c r="M427" s="28" t="n">
        <x:v>10</x:v>
      </x:c>
      <x:c r="N427" s="28" t="n">
        <x:v>24</x:v>
      </x:c>
      <x:c r="O427" s="28" t="n">
        <x:f>M427*N427</x:f>
        <x:v>240</x:v>
      </x:c>
      <x:c r="P427" s="24" t="n">
        <x:v>3.07</x:v>
      </x:c>
      <x:c r="Q427" s="26" t="n">
        <x:v>0.13622826876097183</x:v>
      </x:c>
      <x:c r="R427" s="24" t="n">
        <x:f>O427*P427*Q427</x:f>
        <x:v>100.37298842308404</x:v>
      </x:c>
      <x:c r="S427" s="24" t="n">
        <x:f>P427*(1-Q427)</x:f>
        <x:v>2.6517792149038164</x:v>
      </x:c>
      <x:c r="T427" s="24" t="n">
        <x:f>O427*S427</x:f>
        <x:v>636.4270115769159</x:v>
      </x:c>
      <x:c r="U427" t="str">
        <x:v>CENTRO</x:v>
      </x:c>
      <x:c r="V427" t="str">
        <x:v>Farmacia Centro Histórico</x:v>
      </x:c>
      <x:c r="W427" t="str">
        <x:v>Zona Centro</x:v>
      </x:c>
      <x:c r="X427" t="str">
        <x:v>Quito</x:v>
      </x:c>
      <x:c r="Y427" s="32" t="str">
        <x:v>Guayaquil y Chile</x:v>
      </x:c>
      <x:c r="Z427" s="22" t="n">
        <x:v>46356</x:v>
      </x:c>
      <x:c r="AA427" t="str">
        <x:v>Recibido</x:v>
      </x:c>
      <x:c r="AB427" t="str">
        <x:v>60 días crédito</x:v>
      </x:c>
      <x:c r="AC427" s="32" t="str">
        <x:v>Descuento por volumen</x:v>
      </x:c>
    </x:row>
    <x:row r="428">
      <x:c r="A428" t="n">
        <x:v>427</x:v>
      </x:c>
      <x:c r="B428" s="22" t="n">
        <x:v>46359</x:v>
      </x:c>
      <x:c r="C428" t="str">
        <x:v>OC-2026-0427</x:v>
      </x:c>
      <x:c r="D428" t="str">
        <x:v>F-D001-202612-7888</x:v>
      </x:c>
      <x:c r="E428" t="str">
        <x:v>L2612-005-0427</x:v>
      </x:c>
      <x:c r="F428" t="str">
        <x:v>D001</x:v>
      </x:c>
      <x:c r="G428" s="32" t="str">
        <x:v>DistriFarma Andina S.A.</x:v>
      </x:c>
      <x:c r="H428" t="str">
        <x:v>MED005</x:v>
      </x:c>
      <x:c r="I428" s="32" t="str">
        <x:v>Loratadina 10 mg</x:v>
      </x:c>
      <x:c r="J428" s="32" t="str">
        <x:v>Antigripales</x:v>
      </x:c>
      <x:c r="K428" s="32" t="str">
        <x:v>Genfar</x:v>
      </x:c>
      <x:c r="L428" s="32" t="str">
        <x:v>Caja x 10 tabletas</x:v>
      </x:c>
      <x:c r="M428" s="28" t="n">
        <x:v>30</x:v>
      </x:c>
      <x:c r="N428" s="28" t="n">
        <x:v>20</x:v>
      </x:c>
      <x:c r="O428" s="28" t="n">
        <x:f>M428*N428</x:f>
        <x:v>600</x:v>
      </x:c>
      <x:c r="P428" s="24" t="n">
        <x:v>0.97</x:v>
      </x:c>
      <x:c r="Q428" s="26" t="n">
        <x:v>0.12438273273755229</x:v>
      </x:c>
      <x:c r="R428" s="24" t="n">
        <x:f>O428*P428*Q428</x:f>
        <x:v>72.39075045325544</x:v>
      </x:c>
      <x:c r="S428" s="24" t="n">
        <x:f>P428*(1-Q428)</x:f>
        <x:v>0.8493487492445743</x:v>
      </x:c>
      <x:c r="T428" s="24" t="n">
        <x:f>O428*S428</x:f>
        <x:v>509.60924954674454</x:v>
      </x:c>
      <x:c r="U428" t="str">
        <x:v>CENTRO</x:v>
      </x:c>
      <x:c r="V428" t="str">
        <x:v>Farmacia Centro Histórico</x:v>
      </x:c>
      <x:c r="W428" t="str">
        <x:v>Zona Centro</x:v>
      </x:c>
      <x:c r="X428" t="str">
        <x:v>Quito</x:v>
      </x:c>
      <x:c r="Y428" s="32" t="str">
        <x:v>Guayaquil y Chile</x:v>
      </x:c>
      <x:c r="Z428" s="22" t="n">
        <x:v>46361</x:v>
      </x:c>
      <x:c r="AA428" t="str">
        <x:v>Recibido</x:v>
      </x:c>
      <x:c r="AB428" t="str">
        <x:v>30 días crédito</x:v>
      </x:c>
      <x:c r="AC428" s="32" t="str">
        <x:v>Entrega coordinada fuera de horario regular</x:v>
      </x:c>
    </x:row>
    <x:row r="429">
      <x:c r="A429" t="n">
        <x:v>428</x:v>
      </x:c>
      <x:c r="B429" s="22" t="n">
        <x:v>45908</x:v>
      </x:c>
      <x:c r="C429" t="str">
        <x:v>OC-2025-0428</x:v>
      </x:c>
      <x:c r="D429" t="str">
        <x:v>F-D007-202509-9093</x:v>
      </x:c>
      <x:c r="E429" t="str">
        <x:v>L2509-006-0428</x:v>
      </x:c>
      <x:c r="F429" t="str">
        <x:v>D007</x:v>
      </x:c>
      <x:c r="G429" s="32" t="str">
        <x:v>Comercializadora BioFarma</x:v>
      </x:c>
      <x:c r="H429" t="str">
        <x:v>MED006</x:v>
      </x:c>
      <x:c r="I429" s="32" t="str">
        <x:v>Vitamina C 1 g</x:v>
      </x:c>
      <x:c r="J429" s="32" t="str">
        <x:v>Vitaminas</x:v>
      </x:c>
      <x:c r="K429" s="32" t="str">
        <x:v>Novartis</x:v>
      </x:c>
      <x:c r="L429" s="32" t="str">
        <x:v>Tubo x 10 efervescentes</x:v>
      </x:c>
      <x:c r="M429" s="28" t="n">
        <x:v>2</x:v>
      </x:c>
      <x:c r="N429" s="28" t="n">
        <x:v>50</x:v>
      </x:c>
      <x:c r="O429" s="28" t="n">
        <x:f>M429*N429</x:f>
        <x:v>100</x:v>
      </x:c>
      <x:c r="P429" s="24" t="n">
        <x:v>2.11</x:v>
      </x:c>
      <x:c r="Q429" s="26" t="n">
        <x:v>0.028509738350205815</x:v>
      </x:c>
      <x:c r="R429" s="24" t="n">
        <x:f>O429*P429*Q429</x:f>
        <x:v>6.015554791893427</x:v>
      </x:c>
      <x:c r="S429" s="24" t="n">
        <x:f>P429*(1-Q429)</x:f>
        <x:v>2.0498444520810657</x:v>
      </x:c>
      <x:c r="T429" s="24" t="n">
        <x:f>O429*S429</x:f>
        <x:v>204.98444520810656</x:v>
      </x:c>
      <x:c r="U429" t="str">
        <x:v>SUR</x:v>
      </x:c>
      <x:c r="V429" t="str">
        <x:v>Farmacia del Sur</x:v>
      </x:c>
      <x:c r="W429" t="str">
        <x:v>Zona Sur</x:v>
      </x:c>
      <x:c r="X429" t="str">
        <x:v>Quito</x:v>
      </x:c>
      <x:c r="Y429" s="32" t="str">
        <x:v>Av. Maldonado S25-10</x:v>
      </x:c>
      <x:c r="Z429" s="22" t="n">
        <x:v>45912</x:v>
      </x:c>
      <x:c r="AA429" t="str">
        <x:v>Recibido</x:v>
      </x:c>
      <x:c r="AB429" t="str">
        <x:v>15 días crédito</x:v>
      </x:c>
      <x:c r="AC429" s="32" t="str"/>
    </x:row>
    <x:row r="430">
      <x:c r="A430" t="n">
        <x:v>429</x:v>
      </x:c>
      <x:c r="B430" s="22" t="n">
        <x:v>45992</x:v>
      </x:c>
      <x:c r="C430" t="str">
        <x:v>OC-2025-0429</x:v>
      </x:c>
      <x:c r="D430" t="str">
        <x:v>F-D008-202512-3267</x:v>
      </x:c>
      <x:c r="E430" t="str">
        <x:v>L2512-002-0429</x:v>
      </x:c>
      <x:c r="F430" t="str">
        <x:v>D008</x:v>
      </x:c>
      <x:c r="G430" s="32" t="str">
        <x:v>Mayorista MedicPlus</x:v>
      </x:c>
      <x:c r="H430" t="str">
        <x:v>MED002</x:v>
      </x:c>
      <x:c r="I430" s="32" t="str">
        <x:v>Ibuprofeno 400 mg</x:v>
      </x:c>
      <x:c r="J430" s="32" t="str">
        <x:v>Analgésicos</x:v>
      </x:c>
      <x:c r="K430" s="32" t="str">
        <x:v>La Santé</x:v>
      </x:c>
      <x:c r="L430" s="32" t="str">
        <x:v>Caja x 20 tabletas</x:v>
      </x:c>
      <x:c r="M430" s="28" t="n">
        <x:v>6</x:v>
      </x:c>
      <x:c r="N430" s="28" t="n">
        <x:v>10</x:v>
      </x:c>
      <x:c r="O430" s="28" t="n">
        <x:f>M430*N430</x:f>
        <x:v>60</x:v>
      </x:c>
      <x:c r="P430" s="24" t="n">
        <x:v>1.06</x:v>
      </x:c>
      <x:c r="Q430" s="26" t="n">
        <x:v>0.07027931356522343</x:v>
      </x:c>
      <x:c r="R430" s="24" t="n">
        <x:f>O430*P430*Q430</x:f>
        <x:v>4.469764342748211</x:v>
      </x:c>
      <x:c r="S430" s="24" t="n">
        <x:f>P430*(1-Q430)</x:f>
        <x:v>0.9855039276208633</x:v>
      </x:c>
      <x:c r="T430" s="24" t="n">
        <x:f>O430*S430</x:f>
        <x:v>59.130235657251795</x:v>
      </x:c>
      <x:c r="U430" t="str">
        <x:v>NORTE</x:v>
      </x:c>
      <x:c r="V430" t="str">
        <x:v>Farmacia Norte</x:v>
      </x:c>
      <x:c r="W430" t="str">
        <x:v>Zona Norte</x:v>
      </x:c>
      <x:c r="X430" t="str">
        <x:v>Quito</x:v>
      </x:c>
      <x:c r="Y430" s="32" t="str">
        <x:v>Av. 10 de Agosto N45-20</x:v>
      </x:c>
      <x:c r="Z430" s="22" t="n">
        <x:v>45995</x:v>
      </x:c>
      <x:c r="AA430" t="str">
        <x:v>Recibido</x:v>
      </x:c>
      <x:c r="AB430" t="str">
        <x:v>30 días crédito</x:v>
      </x:c>
      <x:c r="AC430" s="32" t="str"/>
    </x:row>
    <x:row r="431">
      <x:c r="A431" t="n">
        <x:v>430</x:v>
      </x:c>
      <x:c r="B431" s="22" t="n">
        <x:v>45929</x:v>
      </x:c>
      <x:c r="C431" t="str">
        <x:v>OC-2025-0430</x:v>
      </x:c>
      <x:c r="D431" t="str">
        <x:v>F-D007-202509-9044</x:v>
      </x:c>
      <x:c r="E431" t="str">
        <x:v>L2509-011-0430</x:v>
      </x:c>
      <x:c r="F431" t="str">
        <x:v>D007</x:v>
      </x:c>
      <x:c r="G431" s="32" t="str">
        <x:v>Comercializadora BioFarma</x:v>
      </x:c>
      <x:c r="H431" t="str">
        <x:v>MED011</x:v>
      </x:c>
      <x:c r="I431" s="32" t="str">
        <x:v>Jarabe antigripal</x:v>
      </x:c>
      <x:c r="J431" s="32" t="str">
        <x:v>Antigripales</x:v>
      </x:c>
      <x:c r="K431" s="32" t="str">
        <x:v>MEDICAMENTA</x:v>
      </x:c>
      <x:c r="L431" s="32" t="str">
        <x:v>Frasco 120 ml</x:v>
      </x:c>
      <x:c r="M431" s="28" t="n">
        <x:v>18</x:v>
      </x:c>
      <x:c r="N431" s="28" t="n">
        <x:v>10</x:v>
      </x:c>
      <x:c r="O431" s="28" t="n">
        <x:f>M431*N431</x:f>
        <x:v>180</x:v>
      </x:c>
      <x:c r="P431" s="24" t="n">
        <x:v>2.68</x:v>
      </x:c>
      <x:c r="Q431" s="26" t="n">
        <x:v>0.0710609308632084</x:v>
      </x:c>
      <x:c r="R431" s="24" t="n">
        <x:f>O431*P431*Q431</x:f>
        <x:v>34.27979304841173</x:v>
      </x:c>
      <x:c r="S431" s="24" t="n">
        <x:f>P431*(1-Q431)</x:f>
        <x:v>2.4895567052866014</x:v>
      </x:c>
      <x:c r="T431" s="24" t="n">
        <x:f>O431*S431</x:f>
        <x:v>448.1202069515883</x:v>
      </x:c>
      <x:c r="U431" t="str">
        <x:v>SUR</x:v>
      </x:c>
      <x:c r="V431" t="str">
        <x:v>Farmacia del Sur</x:v>
      </x:c>
      <x:c r="W431" t="str">
        <x:v>Zona Sur</x:v>
      </x:c>
      <x:c r="X431" t="str">
        <x:v>Quito</x:v>
      </x:c>
      <x:c r="Y431" s="32" t="str">
        <x:v>Av. Maldonado S25-10</x:v>
      </x:c>
      <x:c r="Z431" s="22" t="n">
        <x:v>45934</x:v>
      </x:c>
      <x:c r="AA431" t="str">
        <x:v>Recibido</x:v>
      </x:c>
      <x:c r="AB431" t="str">
        <x:v>15 días crédito</x:v>
      </x:c>
      <x:c r="AC431" s="32" t="str">
        <x:v>Entrega coordinada fuera de horario regular</x:v>
      </x:c>
    </x:row>
    <x:row r="432">
      <x:c r="A432" t="n">
        <x:v>431</x:v>
      </x:c>
      <x:c r="B432" s="22" t="n">
        <x:v>46376</x:v>
      </x:c>
      <x:c r="C432" t="str">
        <x:v>OC-2026-0431</x:v>
      </x:c>
      <x:c r="D432" t="str">
        <x:v>F-D003-202612-2479</x:v>
      </x:c>
      <x:c r="E432" t="str">
        <x:v>L2612-005-0431</x:v>
      </x:c>
      <x:c r="F432" t="str">
        <x:v>D003</x:v>
      </x:c>
      <x:c r="G432" s="32" t="str">
        <x:v>FarmaLogística Sierra</x:v>
      </x:c>
      <x:c r="H432" t="str">
        <x:v>MED005</x:v>
      </x:c>
      <x:c r="I432" s="32" t="str">
        <x:v>Loratadina 10 mg</x:v>
      </x:c>
      <x:c r="J432" s="32" t="str">
        <x:v>Antigripales</x:v>
      </x:c>
      <x:c r="K432" s="32" t="str">
        <x:v>Genfar</x:v>
      </x:c>
      <x:c r="L432" s="32" t="str">
        <x:v>Caja x 10 tabletas</x:v>
      </x:c>
      <x:c r="M432" s="28" t="n">
        <x:v>10</x:v>
      </x:c>
      <x:c r="N432" s="28" t="n">
        <x:v>60</x:v>
      </x:c>
      <x:c r="O432" s="28" t="n">
        <x:f>M432*N432</x:f>
        <x:v>600</x:v>
      </x:c>
      <x:c r="P432" s="24" t="n">
        <x:v>1.14</x:v>
      </x:c>
      <x:c r="Q432" s="26" t="n">
        <x:v>0.04635778081688141</x:v>
      </x:c>
      <x:c r="R432" s="24" t="n">
        <x:f>O432*P432*Q432</x:f>
        <x:v>31.70872207874688</x:v>
      </x:c>
      <x:c r="S432" s="24" t="n">
        <x:f>P432*(1-Q432)</x:f>
        <x:v>1.0871521298687552</x:v>
      </x:c>
      <x:c r="T432" s="24" t="n">
        <x:f>O432*S432</x:f>
        <x:v>652.2912779212531</x:v>
      </x:c>
      <x:c r="U432" t="str">
        <x:v>SUR</x:v>
      </x:c>
      <x:c r="V432" t="str">
        <x:v>Farmacia del Sur</x:v>
      </x:c>
      <x:c r="W432" t="str">
        <x:v>Zona Sur</x:v>
      </x:c>
      <x:c r="X432" t="str">
        <x:v>Quito</x:v>
      </x:c>
      <x:c r="Y432" s="32" t="str">
        <x:v>Av. Maldonado S25-10</x:v>
      </x:c>
      <x:c r="Z432" s="22" t="n">
        <x:v>46377</x:v>
      </x:c>
      <x:c r="AA432" t="str">
        <x:v>Recibido</x:v>
      </x:c>
      <x:c r="AB432" t="str">
        <x:v>Contado contra entrega</x:v>
      </x:c>
      <x:c r="AC432" s="32" t="str"/>
    </x:row>
    <x:row r="433">
      <x:c r="A433" t="n">
        <x:v>432</x:v>
      </x:c>
      <x:c r="B433" s="22" t="n">
        <x:v>46013</x:v>
      </x:c>
      <x:c r="C433" t="str">
        <x:v>OC-2025-0432</x:v>
      </x:c>
      <x:c r="D433" t="str">
        <x:v>F-D001-202512-5875</x:v>
      </x:c>
      <x:c r="E433" t="str">
        <x:v>L2512-002-0432</x:v>
      </x:c>
      <x:c r="F433" t="str">
        <x:v>D001</x:v>
      </x:c>
      <x:c r="G433" s="32" t="str">
        <x:v>DistriFarma Andina S.A.</x:v>
      </x:c>
      <x:c r="H433" t="str">
        <x:v>MED002</x:v>
      </x:c>
      <x:c r="I433" s="32" t="str">
        <x:v>Ibuprofeno 400 mg</x:v>
      </x:c>
      <x:c r="J433" s="32" t="str">
        <x:v>Analgésicos</x:v>
      </x:c>
      <x:c r="K433" s="32" t="str">
        <x:v>La Santé</x:v>
      </x:c>
      <x:c r="L433" s="32" t="str">
        <x:v>Caja x 20 tabletas</x:v>
      </x:c>
      <x:c r="M433" s="28" t="n">
        <x:v>12</x:v>
      </x:c>
      <x:c r="N433" s="28" t="n">
        <x:v>30</x:v>
      </x:c>
      <x:c r="O433" s="28" t="n">
        <x:f>M433*N433</x:f>
        <x:v>360</x:v>
      </x:c>
      <x:c r="P433" s="24" t="n">
        <x:v>1</x:v>
      </x:c>
      <x:c r="Q433" s="26" t="n">
        <x:v>0.10999877785569091</x:v>
      </x:c>
      <x:c r="R433" s="24" t="n">
        <x:f>O433*P433*Q433</x:f>
        <x:v>39.59956002804873</x:v>
      </x:c>
      <x:c r="S433" s="24" t="n">
        <x:f>P433*(1-Q433)</x:f>
        <x:v>0.8900012221443091</x:v>
      </x:c>
      <x:c r="T433" s="24" t="n">
        <x:f>O433*S433</x:f>
        <x:v>320.4004399719513</x:v>
      </x:c>
      <x:c r="U433" t="str">
        <x:v>SUR</x:v>
      </x:c>
      <x:c r="V433" t="str">
        <x:v>Farmacia del Sur</x:v>
      </x:c>
      <x:c r="W433" t="str">
        <x:v>Zona Sur</x:v>
      </x:c>
      <x:c r="X433" t="str">
        <x:v>Quito</x:v>
      </x:c>
      <x:c r="Y433" s="32" t="str">
        <x:v>Av. Maldonado S25-10</x:v>
      </x:c>
      <x:c r="Z433" s="22" t="n">
        <x:v>46018</x:v>
      </x:c>
      <x:c r="AA433" t="str">
        <x:v>Recibido</x:v>
      </x:c>
      <x:c r="AB433" t="str">
        <x:v>30 días crédito</x:v>
      </x:c>
      <x:c r="AC433" s="32" t="str">
        <x:v>Entrega coordinada fuera de horario regular</x:v>
      </x:c>
    </x:row>
    <x:row r="434">
      <x:c r="A434" t="n">
        <x:v>433</x:v>
      </x:c>
      <x:c r="B434" s="22" t="n">
        <x:v>46190</x:v>
      </x:c>
      <x:c r="C434" t="str">
        <x:v>OC-2026-0433</x:v>
      </x:c>
      <x:c r="D434" t="str">
        <x:v>F-D007-202606-2801</x:v>
      </x:c>
      <x:c r="E434" t="str">
        <x:v>L2606-012-0433</x:v>
      </x:c>
      <x:c r="F434" t="str">
        <x:v>D007</x:v>
      </x:c>
      <x:c r="G434" s="32" t="str">
        <x:v>Comercializadora BioFarma</x:v>
      </x:c>
      <x:c r="H434" t="str">
        <x:v>MED012</x:v>
      </x:c>
      <x:c r="I434" s="32" t="str">
        <x:v>Multivitamínico adulto</x:v>
      </x:c>
      <x:c r="J434" s="32" t="str">
        <x:v>Vitaminas</x:v>
      </x:c>
      <x:c r="K434" s="32" t="str">
        <x:v>Novartis</x:v>
      </x:c>
      <x:c r="L434" s="32" t="str">
        <x:v>Frasco x 30 tabletas</x:v>
      </x:c>
      <x:c r="M434" s="28" t="n">
        <x:v>4</x:v>
      </x:c>
      <x:c r="N434" s="28" t="n">
        <x:v>60</x:v>
      </x:c>
      <x:c r="O434" s="28" t="n">
        <x:f>M434*N434</x:f>
        <x:v>240</x:v>
      </x:c>
      <x:c r="P434" s="24" t="n">
        <x:v>4.59</x:v>
      </x:c>
      <x:c r="Q434" s="26" t="n">
        <x:v>0.0395409458158544</x:v>
      </x:c>
      <x:c r="R434" s="24" t="n">
        <x:f>O434*P434*Q434</x:f>
        <x:v>43.558305910745204</x:v>
      </x:c>
      <x:c r="S434" s="24" t="n">
        <x:f>P434*(1-Q434)</x:f>
        <x:v>4.408507058705228</x:v>
      </x:c>
      <x:c r="T434" s="24" t="n">
        <x:f>O434*S434</x:f>
        <x:v>1058.0416940892549</x:v>
      </x:c>
      <x:c r="U434" t="str">
        <x:v>SUR</x:v>
      </x:c>
      <x:c r="V434" t="str">
        <x:v>Farmacia del Sur</x:v>
      </x:c>
      <x:c r="W434" t="str">
        <x:v>Zona Sur</x:v>
      </x:c>
      <x:c r="X434" t="str">
        <x:v>Quito</x:v>
      </x:c>
      <x:c r="Y434" s="32" t="str">
        <x:v>Av. Maldonado S25-10</x:v>
      </x:c>
      <x:c r="Z434" s="22" t="n">
        <x:v>46191</x:v>
      </x:c>
      <x:c r="AA434" t="str">
        <x:v>Recibido</x:v>
      </x:c>
      <x:c r="AB434" t="str">
        <x:v>15 días crédito</x:v>
      </x:c>
      <x:c r="AC434" s="32" t="str"/>
    </x:row>
    <x:row r="435">
      <x:c r="A435" t="n">
        <x:v>434</x:v>
      </x:c>
      <x:c r="B435" s="22" t="n">
        <x:v>45785</x:v>
      </x:c>
      <x:c r="C435" t="str">
        <x:v>OC-2025-0434</x:v>
      </x:c>
      <x:c r="D435" t="str">
        <x:v>F-D008-202505-5225</x:v>
      </x:c>
      <x:c r="E435" t="str">
        <x:v>L2505-007-0434</x:v>
      </x:c>
      <x:c r="F435" t="str">
        <x:v>D008</x:v>
      </x:c>
      <x:c r="G435" s="32" t="str">
        <x:v>Mayorista MedicPlus</x:v>
      </x:c>
      <x:c r="H435" t="str">
        <x:v>MED007</x:v>
      </x:c>
      <x:c r="I435" s="32" t="str">
        <x:v>Omeprazol 20 mg</x:v>
      </x:c>
      <x:c r="J435" s="32" t="str">
        <x:v>Gastrointestinales</x:v>
      </x:c>
      <x:c r="K435" s="32" t="str">
        <x:v>La Santé</x:v>
      </x:c>
      <x:c r="L435" s="32" t="str">
        <x:v>Caja x 30 cápsulas</x:v>
      </x:c>
      <x:c r="M435" s="28" t="n">
        <x:v>10</x:v>
      </x:c>
      <x:c r="N435" s="28" t="n">
        <x:v>30</x:v>
      </x:c>
      <x:c r="O435" s="28" t="n">
        <x:f>M435*N435</x:f>
        <x:v>300</x:v>
      </x:c>
      <x:c r="P435" s="24" t="n">
        <x:v>2.68</x:v>
      </x:c>
      <x:c r="Q435" s="26" t="n">
        <x:v>0.11283794833798072</x:v>
      </x:c>
      <x:c r="R435" s="24" t="n">
        <x:f>O435*P435*Q435</x:f>
        <x:v>90.7217104637365</x:v>
      </x:c>
      <x:c r="S435" s="24" t="n">
        <x:f>P435*(1-Q435)</x:f>
        <x:v>2.3775942984542118</x:v>
      </x:c>
      <x:c r="T435" s="24" t="n">
        <x:f>O435*S435</x:f>
        <x:v>713.2782895362635</x:v>
      </x:c>
      <x:c r="U435" t="str">
        <x:v>VALLE</x:v>
      </x:c>
      <x:c r="V435" t="str">
        <x:v>Farmacia Valle de los Chillos</x:v>
      </x:c>
      <x:c r="W435" t="str">
        <x:v>Zona Valle</x:v>
      </x:c>
      <x:c r="X435" t="str">
        <x:v>Sangolquí</x:v>
      </x:c>
      <x:c r="Y435" s="32" t="str">
        <x:v>Av. Calderón 101</x:v>
      </x:c>
      <x:c r="Z435" s="22" t="n">
        <x:v>45786</x:v>
      </x:c>
      <x:c r="AA435" t="str">
        <x:v>Recibido</x:v>
      </x:c>
      <x:c r="AB435" t="str">
        <x:v>30 días crédito</x:v>
      </x:c>
      <x:c r="AC435" s="32" t="str"/>
    </x:row>
    <x:row r="436">
      <x:c r="A436" t="n">
        <x:v>435</x:v>
      </x:c>
      <x:c r="B436" s="22" t="n">
        <x:v>45701</x:v>
      </x:c>
      <x:c r="C436" t="str">
        <x:v>OC-2025-0435</x:v>
      </x:c>
      <x:c r="D436" t="str">
        <x:v>F-D001-202502-1996</x:v>
      </x:c>
      <x:c r="E436" t="str">
        <x:v>L2502-005-0435</x:v>
      </x:c>
      <x:c r="F436" t="str">
        <x:v>D001</x:v>
      </x:c>
      <x:c r="G436" s="32" t="str">
        <x:v>DistriFarma Andina S.A.</x:v>
      </x:c>
      <x:c r="H436" t="str">
        <x:v>MED005</x:v>
      </x:c>
      <x:c r="I436" s="32" t="str">
        <x:v>Loratadina 10 mg</x:v>
      </x:c>
      <x:c r="J436" s="32" t="str">
        <x:v>Antigripales</x:v>
      </x:c>
      <x:c r="K436" s="32" t="str">
        <x:v>Genfar</x:v>
      </x:c>
      <x:c r="L436" s="32" t="str">
        <x:v>Caja x 10 tabletas</x:v>
      </x:c>
      <x:c r="M436" s="28" t="n">
        <x:v>8</x:v>
      </x:c>
      <x:c r="N436" s="28" t="n">
        <x:v>24</x:v>
      </x:c>
      <x:c r="O436" s="28" t="n">
        <x:f>M436*N436</x:f>
        <x:v>192</x:v>
      </x:c>
      <x:c r="P436" s="24" t="n">
        <x:v>0.98</x:v>
      </x:c>
      <x:c r="Q436" s="26" t="n">
        <x:v>0.09997111262085012</x:v>
      </x:c>
      <x:c r="R436" s="24" t="n">
        <x:f>O436*P436*Q436</x:f>
        <x:v>18.81056455073916</x:v>
      </x:c>
      <x:c r="S436" s="24" t="n">
        <x:f>P436*(1-Q436)</x:f>
        <x:v>0.8820283096315669</x:v>
      </x:c>
      <x:c r="T436" s="24" t="n">
        <x:f>O436*S436</x:f>
        <x:v>169.34943544926085</x:v>
      </x:c>
      <x:c r="U436" t="str">
        <x:v>CENTRO</x:v>
      </x:c>
      <x:c r="V436" t="str">
        <x:v>Farmacia Centro Histórico</x:v>
      </x:c>
      <x:c r="W436" t="str">
        <x:v>Zona Centro</x:v>
      </x:c>
      <x:c r="X436" t="str">
        <x:v>Quito</x:v>
      </x:c>
      <x:c r="Y436" s="32" t="str">
        <x:v>Guayaquil y Chile</x:v>
      </x:c>
      <x:c r="Z436" s="22" t="n">
        <x:v>45704</x:v>
      </x:c>
      <x:c r="AA436" t="str">
        <x:v>Recibido</x:v>
      </x:c>
      <x:c r="AB436" t="str">
        <x:v>30 días crédito</x:v>
      </x:c>
      <x:c r="AC436" s="32" t="str">
        <x:v>Entrega coordinada fuera de horario regular</x:v>
      </x:c>
    </x:row>
    <x:row r="437">
      <x:c r="A437" t="n">
        <x:v>436</x:v>
      </x:c>
      <x:c r="B437" s="22" t="n">
        <x:v>46273</x:v>
      </x:c>
      <x:c r="C437" t="str">
        <x:v>OC-2026-0436</x:v>
      </x:c>
      <x:c r="D437" t="str">
        <x:v>F-D007-202609-6287</x:v>
      </x:c>
      <x:c r="E437" t="str">
        <x:v>L2609-011-0436</x:v>
      </x:c>
      <x:c r="F437" t="str">
        <x:v>D007</x:v>
      </x:c>
      <x:c r="G437" s="32" t="str">
        <x:v>Comercializadora BioFarma</x:v>
      </x:c>
      <x:c r="H437" t="str">
        <x:v>MED011</x:v>
      </x:c>
      <x:c r="I437" s="32" t="str">
        <x:v>Jarabe antigripal</x:v>
      </x:c>
      <x:c r="J437" s="32" t="str">
        <x:v>Antigripales</x:v>
      </x:c>
      <x:c r="K437" s="32" t="str">
        <x:v>MEDICAMENTA</x:v>
      </x:c>
      <x:c r="L437" s="32" t="str">
        <x:v>Frasco 120 ml</x:v>
      </x:c>
      <x:c r="M437" s="28" t="n">
        <x:v>10</x:v>
      </x:c>
      <x:c r="N437" s="28" t="n">
        <x:v>24</x:v>
      </x:c>
      <x:c r="O437" s="28" t="n">
        <x:f>M437*N437</x:f>
        <x:v>240</x:v>
      </x:c>
      <x:c r="P437" s="24" t="n">
        <x:v>3</x:v>
      </x:c>
      <x:c r="Q437" s="26" t="n">
        <x:v>0.043363928589167725</x:v>
      </x:c>
      <x:c r="R437" s="24" t="n">
        <x:f>O437*P437*Q437</x:f>
        <x:v>31.22202858420076</x:v>
      </x:c>
      <x:c r="S437" s="24" t="n">
        <x:f>P437*(1-Q437)</x:f>
        <x:v>2.8699082142324968</x:v>
      </x:c>
      <x:c r="T437" s="24" t="n">
        <x:f>O437*S437</x:f>
        <x:v>688.7779714157992</x:v>
      </x:c>
      <x:c r="U437" t="str">
        <x:v>CENTRO</x:v>
      </x:c>
      <x:c r="V437" t="str">
        <x:v>Farmacia Centro Histórico</x:v>
      </x:c>
      <x:c r="W437" t="str">
        <x:v>Zona Centro</x:v>
      </x:c>
      <x:c r="X437" t="str">
        <x:v>Quito</x:v>
      </x:c>
      <x:c r="Y437" s="32" t="str">
        <x:v>Guayaquil y Chile</x:v>
      </x:c>
      <x:c r="Z437" s="22" t="n">
        <x:v>46274</x:v>
      </x:c>
      <x:c r="AA437" t="str">
        <x:v>Recibido</x:v>
      </x:c>
      <x:c r="AB437" t="str">
        <x:v>15 días crédito</x:v>
      </x:c>
      <x:c r="AC437" s="32" t="str"/>
    </x:row>
    <x:row r="438">
      <x:c r="A438" t="n">
        <x:v>437</x:v>
      </x:c>
      <x:c r="B438" s="22" t="n">
        <x:v>45956</x:v>
      </x:c>
      <x:c r="C438" t="str">
        <x:v>OC-2025-0437</x:v>
      </x:c>
      <x:c r="D438" t="str">
        <x:v>F-D003-202510-2500</x:v>
      </x:c>
      <x:c r="E438" t="str">
        <x:v>L2510-005-0437</x:v>
      </x:c>
      <x:c r="F438" t="str">
        <x:v>D003</x:v>
      </x:c>
      <x:c r="G438" s="32" t="str">
        <x:v>FarmaLogística Sierra</x:v>
      </x:c>
      <x:c r="H438" t="str">
        <x:v>MED005</x:v>
      </x:c>
      <x:c r="I438" s="32" t="str">
        <x:v>Loratadina 10 mg</x:v>
      </x:c>
      <x:c r="J438" s="32" t="str">
        <x:v>Antigripales</x:v>
      </x:c>
      <x:c r="K438" s="32" t="str">
        <x:v>Genfar</x:v>
      </x:c>
      <x:c r="L438" s="32" t="str">
        <x:v>Caja x 10 tabletas</x:v>
      </x:c>
      <x:c r="M438" s="28" t="n">
        <x:v>18</x:v>
      </x:c>
      <x:c r="N438" s="28" t="n">
        <x:v>20</x:v>
      </x:c>
      <x:c r="O438" s="28" t="n">
        <x:f>M438*N438</x:f>
        <x:v>360</x:v>
      </x:c>
      <x:c r="P438" s="24" t="n">
        <x:v>0.9</x:v>
      </x:c>
      <x:c r="Q438" s="26" t="n">
        <x:v>0.02018482413835388</x:v>
      </x:c>
      <x:c r="R438" s="24" t="n">
        <x:f>O438*P438*Q438</x:f>
        <x:v>6.539883020826657</x:v>
      </x:c>
      <x:c r="S438" s="24" t="n">
        <x:f>P438*(1-Q438)</x:f>
        <x:v>0.8818336582754815</x:v>
      </x:c>
      <x:c r="T438" s="24" t="n">
        <x:f>O438*S438</x:f>
        <x:v>317.46011697917334</x:v>
      </x:c>
      <x:c r="U438" t="str">
        <x:v>SUR</x:v>
      </x:c>
      <x:c r="V438" t="str">
        <x:v>Farmacia del Sur</x:v>
      </x:c>
      <x:c r="W438" t="str">
        <x:v>Zona Sur</x:v>
      </x:c>
      <x:c r="X438" t="str">
        <x:v>Quito</x:v>
      </x:c>
      <x:c r="Y438" s="32" t="str">
        <x:v>Av. Maldonado S25-10</x:v>
      </x:c>
      <x:c r="Z438" s="22" t="n">
        <x:v>45958</x:v>
      </x:c>
      <x:c r="AA438" t="str">
        <x:v>Recibido</x:v>
      </x:c>
      <x:c r="AB438" t="str">
        <x:v>Contado contra entrega</x:v>
      </x:c>
      <x:c r="AC438" s="32" t="str"/>
    </x:row>
    <x:row r="439">
      <x:c r="A439" t="n">
        <x:v>438</x:v>
      </x:c>
      <x:c r="B439" s="22" t="n">
        <x:v>46236</x:v>
      </x:c>
      <x:c r="C439" t="str">
        <x:v>OC-2026-0438</x:v>
      </x:c>
      <x:c r="D439" t="str">
        <x:v>F-D001-202608-8640</x:v>
      </x:c>
      <x:c r="E439" t="str">
        <x:v>L2608-011-0438</x:v>
      </x:c>
      <x:c r="F439" t="str">
        <x:v>D001</x:v>
      </x:c>
      <x:c r="G439" s="32" t="str">
        <x:v>DistriFarma Andina S.A.</x:v>
      </x:c>
      <x:c r="H439" t="str">
        <x:v>MED011</x:v>
      </x:c>
      <x:c r="I439" s="32" t="str">
        <x:v>Jarabe antigripal</x:v>
      </x:c>
      <x:c r="J439" s="32" t="str">
        <x:v>Antigripales</x:v>
      </x:c>
      <x:c r="K439" s="32" t="str">
        <x:v>MEDICAMENTA</x:v>
      </x:c>
      <x:c r="L439" s="32" t="str">
        <x:v>Frasco 120 ml</x:v>
      </x:c>
      <x:c r="M439" s="28" t="n">
        <x:v>6</x:v>
      </x:c>
      <x:c r="N439" s="28" t="n">
        <x:v>50</x:v>
      </x:c>
      <x:c r="O439" s="28" t="n">
        <x:f>M439*N439</x:f>
        <x:v>300</x:v>
      </x:c>
      <x:c r="P439" s="24" t="n">
        <x:v>2.75</x:v>
      </x:c>
      <x:c r="Q439" s="26" t="n">
        <x:v>0.0772642195701614</x:v>
      </x:c>
      <x:c r="R439" s="24" t="n">
        <x:f>O439*P439*Q439</x:f>
        <x:v>63.742981145383155</x:v>
      </x:c>
      <x:c r="S439" s="24" t="n">
        <x:f>P439*(1-Q439)</x:f>
        <x:v>2.5375233961820562</x:v>
      </x:c>
      <x:c r="T439" s="24" t="n">
        <x:f>O439*S439</x:f>
        <x:v>761.2570188546168</x:v>
      </x:c>
      <x:c r="U439" t="str">
        <x:v>CENTRO</x:v>
      </x:c>
      <x:c r="V439" t="str">
        <x:v>Farmacia Centro Histórico</x:v>
      </x:c>
      <x:c r="W439" t="str">
        <x:v>Zona Centro</x:v>
      </x:c>
      <x:c r="X439" t="str">
        <x:v>Quito</x:v>
      </x:c>
      <x:c r="Y439" s="32" t="str">
        <x:v>Guayaquil y Chile</x:v>
      </x:c>
      <x:c r="Z439" s="22" t="n">
        <x:v>46239</x:v>
      </x:c>
      <x:c r="AA439" t="str">
        <x:v>Recibido</x:v>
      </x:c>
      <x:c r="AB439" t="str">
        <x:v>30 días crédito</x:v>
      </x:c>
      <x:c r="AC439" s="32" t="str"/>
    </x:row>
    <x:row r="440">
      <x:c r="A440" t="n">
        <x:v>439</x:v>
      </x:c>
      <x:c r="B440" s="22" t="n">
        <x:v>46239</x:v>
      </x:c>
      <x:c r="C440" t="str">
        <x:v>OC-2026-0439</x:v>
      </x:c>
      <x:c r="D440" t="str">
        <x:v>F-D006-202608-2379</x:v>
      </x:c>
      <x:c r="E440" t="str">
        <x:v>L2608-010-0439</x:v>
      </x:c>
      <x:c r="F440" t="str">
        <x:v>D006</x:v>
      </x:c>
      <x:c r="G440" s="32" t="str">
        <x:v>Insumos Médicos del Pacífico</x:v>
      </x:c>
      <x:c r="H440" t="str">
        <x:v>MED010</x:v>
      </x:c>
      <x:c r="I440" s="32" t="str">
        <x:v>Aspirina 100 mg</x:v>
      </x:c>
      <x:c r="J440" s="32" t="str">
        <x:v>Cardiovasculares</x:v>
      </x:c>
      <x:c r="K440" s="32" t="str">
        <x:v>Bayer</x:v>
      </x:c>
      <x:c r="L440" s="32" t="str">
        <x:v>Caja x 30 tabletas</x:v>
      </x:c>
      <x:c r="M440" s="28" t="n">
        <x:v>2</x:v>
      </x:c>
      <x:c r="N440" s="28" t="n">
        <x:v>50</x:v>
      </x:c>
      <x:c r="O440" s="28" t="n">
        <x:f>M440*N440</x:f>
        <x:v>100</x:v>
      </x:c>
      <x:c r="P440" s="24" t="n">
        <x:v>1.56</x:v>
      </x:c>
      <x:c r="Q440" s="26" t="n">
        <x:v>0.10266429200690036</x:v>
      </x:c>
      <x:c r="R440" s="24" t="n">
        <x:f>O440*P440*Q440</x:f>
        <x:v>16.015629553076455</x:v>
      </x:c>
      <x:c r="S440" s="24" t="n">
        <x:f>P440*(1-Q440)</x:f>
        <x:v>1.3998437044692356</x:v>
      </x:c>
      <x:c r="T440" s="24" t="n">
        <x:f>O440*S440</x:f>
        <x:v>139.98437044692355</x:v>
      </x:c>
      <x:c r="U440" t="str">
        <x:v>SUR</x:v>
      </x:c>
      <x:c r="V440" t="str">
        <x:v>Farmacia del Sur</x:v>
      </x:c>
      <x:c r="W440" t="str">
        <x:v>Zona Sur</x:v>
      </x:c>
      <x:c r="X440" t="str">
        <x:v>Quito</x:v>
      </x:c>
      <x:c r="Y440" s="32" t="str">
        <x:v>Av. Maldonado S25-10</x:v>
      </x:c>
      <x:c r="Z440" s="22" t="n">
        <x:v>46241</x:v>
      </x:c>
      <x:c r="AA440" t="str">
        <x:v>Recibido</x:v>
      </x:c>
      <x:c r="AB440" t="str">
        <x:v>60 días crédito</x:v>
      </x:c>
      <x:c r="AC440" s="32" t="str"/>
    </x:row>
    <x:row r="441">
      <x:c r="A441" t="n">
        <x:v>440</x:v>
      </x:c>
      <x:c r="B441" s="22" t="n">
        <x:v>45934</x:v>
      </x:c>
      <x:c r="C441" t="str">
        <x:v>OC-2025-0440</x:v>
      </x:c>
      <x:c r="D441" t="str">
        <x:v>F-D005-202510-7785</x:v>
      </x:c>
      <x:c r="E441" t="str">
        <x:v>L2510-012-0440</x:v>
      </x:c>
      <x:c r="F441" t="str">
        <x:v>D005</x:v>
      </x:c>
      <x:c r="G441" s="32" t="str">
        <x:v>PharmaExpress Quito</x:v>
      </x:c>
      <x:c r="H441" t="str">
        <x:v>MED012</x:v>
      </x:c>
      <x:c r="I441" s="32" t="str">
        <x:v>Multivitamínico adulto</x:v>
      </x:c>
      <x:c r="J441" s="32" t="str">
        <x:v>Vitaminas</x:v>
      </x:c>
      <x:c r="K441" s="32" t="str">
        <x:v>Novartis</x:v>
      </x:c>
      <x:c r="L441" s="32" t="str">
        <x:v>Frasco x 30 tabletas</x:v>
      </x:c>
      <x:c r="M441" s="28" t="n">
        <x:v>6</x:v>
      </x:c>
      <x:c r="N441" s="28" t="n">
        <x:v>60</x:v>
      </x:c>
      <x:c r="O441" s="28" t="n">
        <x:f>M441*N441</x:f>
        <x:v>360</x:v>
      </x:c>
      <x:c r="P441" s="24" t="n">
        <x:v>4.16</x:v>
      </x:c>
      <x:c r="Q441" s="26" t="n">
        <x:v>0.05200648546510359</x:v>
      </x:c>
      <x:c r="R441" s="24" t="n">
        <x:f>O441*P441*Q441</x:f>
        <x:v>77.88491263253914</x:v>
      </x:c>
      <x:c r="S441" s="24" t="n">
        <x:f>P441*(1-Q441)</x:f>
        <x:v>3.9436530204651694</x:v>
      </x:c>
      <x:c r="T441" s="24" t="n">
        <x:f>O441*S441</x:f>
        <x:v>1419.715087367461</x:v>
      </x:c>
      <x:c r="U441" t="str">
        <x:v>VALLE</x:v>
      </x:c>
      <x:c r="V441" t="str">
        <x:v>Farmacia Valle de los Chillos</x:v>
      </x:c>
      <x:c r="W441" t="str">
        <x:v>Zona Valle</x:v>
      </x:c>
      <x:c r="X441" t="str">
        <x:v>Sangolquí</x:v>
      </x:c>
      <x:c r="Y441" s="32" t="str">
        <x:v>Av. Calderón 101</x:v>
      </x:c>
      <x:c r="Z441" s="22" t="n">
        <x:v>45936</x:v>
      </x:c>
      <x:c r="AA441" t="str">
        <x:v>Recibido</x:v>
      </x:c>
      <x:c r="AB441" t="str">
        <x:v>30 días crédito</x:v>
      </x:c>
      <x:c r="AC441" s="32" t="str"/>
    </x:row>
    <x:row r="442">
      <x:c r="A442" t="n">
        <x:v>441</x:v>
      </x:c>
      <x:c r="B442" s="22" t="n">
        <x:v>46144</x:v>
      </x:c>
      <x:c r="C442" t="str">
        <x:v>OC-2026-0441</x:v>
      </x:c>
      <x:c r="D442" t="str">
        <x:v>F-D001-202605-4330</x:v>
      </x:c>
      <x:c r="E442" t="str">
        <x:v>L2605-005-0441</x:v>
      </x:c>
      <x:c r="F442" t="str">
        <x:v>D001</x:v>
      </x:c>
      <x:c r="G442" s="32" t="str">
        <x:v>DistriFarma Andina S.A.</x:v>
      </x:c>
      <x:c r="H442" t="str">
        <x:v>MED005</x:v>
      </x:c>
      <x:c r="I442" s="32" t="str">
        <x:v>Loratadina 10 mg</x:v>
      </x:c>
      <x:c r="J442" s="32" t="str">
        <x:v>Antigripales</x:v>
      </x:c>
      <x:c r="K442" s="32" t="str">
        <x:v>Genfar</x:v>
      </x:c>
      <x:c r="L442" s="32" t="str">
        <x:v>Caja x 10 tabletas</x:v>
      </x:c>
      <x:c r="M442" s="28" t="n">
        <x:v>24</x:v>
      </x:c>
      <x:c r="N442" s="28" t="n">
        <x:v>20</x:v>
      </x:c>
      <x:c r="O442" s="28" t="n">
        <x:f>M442*N442</x:f>
        <x:v>480</x:v>
      </x:c>
      <x:c r="P442" s="24" t="n">
        <x:v>1.05</x:v>
      </x:c>
      <x:c r="Q442" s="26" t="n">
        <x:v>0.08898767816711795</x:v>
      </x:c>
      <x:c r="R442" s="24" t="n">
        <x:f>O442*P442*Q442</x:f>
        <x:v>44.84978979622744</x:v>
      </x:c>
      <x:c r="S442" s="24" t="n">
        <x:f>P442*(1-Q442)</x:f>
        <x:v>0.9565629379245262</x:v>
      </x:c>
      <x:c r="T442" s="24" t="n">
        <x:f>O442*S442</x:f>
        <x:v>459.1502102037726</x:v>
      </x:c>
      <x:c r="U442" t="str">
        <x:v>VALLE</x:v>
      </x:c>
      <x:c r="V442" t="str">
        <x:v>Farmacia Valle de los Chillos</x:v>
      </x:c>
      <x:c r="W442" t="str">
        <x:v>Zona Valle</x:v>
      </x:c>
      <x:c r="X442" t="str">
        <x:v>Sangolquí</x:v>
      </x:c>
      <x:c r="Y442" s="32" t="str">
        <x:v>Av. Calderón 101</x:v>
      </x:c>
      <x:c r="Z442" s="22" t="n">
        <x:v>46146</x:v>
      </x:c>
      <x:c r="AA442" t="str">
        <x:v>Recibido</x:v>
      </x:c>
      <x:c r="AB442" t="str">
        <x:v>30 días crédito</x:v>
      </x:c>
      <x:c r="AC442" s="32" t="str"/>
    </x:row>
    <x:row r="443">
      <x:c r="A443" t="n">
        <x:v>442</x:v>
      </x:c>
      <x:c r="B443" s="22" t="n">
        <x:v>45874</x:v>
      </x:c>
      <x:c r="C443" t="str">
        <x:v>OC-2025-0442</x:v>
      </x:c>
      <x:c r="D443" t="str">
        <x:v>F-D003-202508-1455</x:v>
      </x:c>
      <x:c r="E443" t="str">
        <x:v>L2508-005-0442</x:v>
      </x:c>
      <x:c r="F443" t="str">
        <x:v>D003</x:v>
      </x:c>
      <x:c r="G443" s="32" t="str">
        <x:v>FarmaLogística Sierra</x:v>
      </x:c>
      <x:c r="H443" t="str">
        <x:v>MED005</x:v>
      </x:c>
      <x:c r="I443" s="32" t="str">
        <x:v>Loratadina 10 mg</x:v>
      </x:c>
      <x:c r="J443" s="32" t="str">
        <x:v>Antigripales</x:v>
      </x:c>
      <x:c r="K443" s="32" t="str">
        <x:v>Genfar</x:v>
      </x:c>
      <x:c r="L443" s="32" t="str">
        <x:v>Caja x 10 tabletas</x:v>
      </x:c>
      <x:c r="M443" s="28" t="n">
        <x:v>12</x:v>
      </x:c>
      <x:c r="N443" s="28" t="n">
        <x:v>50</x:v>
      </x:c>
      <x:c r="O443" s="28" t="n">
        <x:f>M443*N443</x:f>
        <x:v>600</x:v>
      </x:c>
      <x:c r="P443" s="24" t="n">
        <x:v>0.96</x:v>
      </x:c>
      <x:c r="Q443" s="26" t="n">
        <x:v>0.08592539017441561</x:v>
      </x:c>
      <x:c r="R443" s="24" t="n">
        <x:f>O443*P443*Q443</x:f>
        <x:v>49.49302474046339</x:v>
      </x:c>
      <x:c r="S443" s="24" t="n">
        <x:f>P443*(1-Q443)</x:f>
        <x:v>0.877511625432561</x:v>
      </x:c>
      <x:c r="T443" s="24" t="n">
        <x:f>O443*S443</x:f>
        <x:v>526.5069752595366</x:v>
      </x:c>
      <x:c r="U443" t="str">
        <x:v>VALLE</x:v>
      </x:c>
      <x:c r="V443" t="str">
        <x:v>Farmacia Valle de los Chillos</x:v>
      </x:c>
      <x:c r="W443" t="str">
        <x:v>Zona Valle</x:v>
      </x:c>
      <x:c r="X443" t="str">
        <x:v>Sangolquí</x:v>
      </x:c>
      <x:c r="Y443" s="32" t="str">
        <x:v>Av. Calderón 101</x:v>
      </x:c>
      <x:c r="Z443" s="22" t="n">
        <x:v>45878</x:v>
      </x:c>
      <x:c r="AA443" t="str">
        <x:v>Recibido</x:v>
      </x:c>
      <x:c r="AB443" t="str">
        <x:v>Contado contra entrega</x:v>
      </x:c>
      <x:c r="AC443" s="32" t="str">
        <x:v>Entrega coordinada fuera de horario regular</x:v>
      </x:c>
    </x:row>
    <x:row r="444">
      <x:c r="A444" t="n">
        <x:v>443</x:v>
      </x:c>
      <x:c r="B444" s="22" t="n">
        <x:v>46025</x:v>
      </x:c>
      <x:c r="C444" t="str">
        <x:v>OC-2026-0443</x:v>
      </x:c>
      <x:c r="D444" t="str">
        <x:v>F-D004-202601-6401</x:v>
      </x:c>
      <x:c r="E444" t="str">
        <x:v>L2601-011-0443</x:v>
      </x:c>
      <x:c r="F444" t="str">
        <x:v>D004</x:v>
      </x:c>
      <x:c r="G444" s="32" t="str">
        <x:v>Distribuidora Salud Total</x:v>
      </x:c>
      <x:c r="H444" t="str">
        <x:v>MED011</x:v>
      </x:c>
      <x:c r="I444" s="32" t="str">
        <x:v>Jarabe antigripal</x:v>
      </x:c>
      <x:c r="J444" s="32" t="str">
        <x:v>Antigripales</x:v>
      </x:c>
      <x:c r="K444" s="32" t="str">
        <x:v>MEDICAMENTA</x:v>
      </x:c>
      <x:c r="L444" s="32" t="str">
        <x:v>Frasco 120 ml</x:v>
      </x:c>
      <x:c r="M444" s="28" t="n">
        <x:v>2</x:v>
      </x:c>
      <x:c r="N444" s="28" t="n">
        <x:v>60</x:v>
      </x:c>
      <x:c r="O444" s="28" t="n">
        <x:f>M444*N444</x:f>
        <x:v>120</x:v>
      </x:c>
      <x:c r="P444" s="24" t="n">
        <x:v>3.02</x:v>
      </x:c>
      <x:c r="Q444" s="26" t="n">
        <x:v>0.13267305540597563</x:v>
      </x:c>
      <x:c r="R444" s="24" t="n">
        <x:f>O444*P444*Q444</x:f>
        <x:v>48.08071527912556</x:v>
      </x:c>
      <x:c r="S444" s="24" t="n">
        <x:f>P444*(1-Q444)</x:f>
        <x:v>2.6193273726739537</x:v>
      </x:c>
      <x:c r="T444" s="24" t="n">
        <x:f>O444*S444</x:f>
        <x:v>314.31928472087446</x:v>
      </x:c>
      <x:c r="U444" t="str">
        <x:v>SUR</x:v>
      </x:c>
      <x:c r="V444" t="str">
        <x:v>Farmacia del Sur</x:v>
      </x:c>
      <x:c r="W444" t="str">
        <x:v>Zona Sur</x:v>
      </x:c>
      <x:c r="X444" t="str">
        <x:v>Quito</x:v>
      </x:c>
      <x:c r="Y444" s="32" t="str">
        <x:v>Av. Maldonado S25-10</x:v>
      </x:c>
      <x:c r="Z444" s="22" t="n">
        <x:v>46028</x:v>
      </x:c>
      <x:c r="AA444" t="str">
        <x:v>Recibido</x:v>
      </x:c>
      <x:c r="AB444" t="str">
        <x:v>45 días crédito</x:v>
      </x:c>
      <x:c r="AC444" s="32" t="str">
        <x:v>Descuento por volumen</x:v>
      </x:c>
    </x:row>
    <x:row r="445">
      <x:c r="A445" t="n">
        <x:v>444</x:v>
      </x:c>
      <x:c r="B445" s="22" t="n">
        <x:v>45700</x:v>
      </x:c>
      <x:c r="C445" t="str">
        <x:v>OC-2025-0444</x:v>
      </x:c>
      <x:c r="D445" t="str">
        <x:v>F-D003-202502-9468</x:v>
      </x:c>
      <x:c r="E445" t="str">
        <x:v>L2502-014-0444</x:v>
      </x:c>
      <x:c r="F445" t="str">
        <x:v>D003</x:v>
      </x:c>
      <x:c r="G445" s="32" t="str">
        <x:v>FarmaLogística Sierra</x:v>
      </x:c>
      <x:c r="H445" t="str">
        <x:v>MED014</x:v>
      </x:c>
      <x:c r="I445" s="32" t="str">
        <x:v>Crema antimicótica</x:v>
      </x:c>
      <x:c r="J445" s="32" t="str">
        <x:v>Dermatológicos</x:v>
      </x:c>
      <x:c r="K445" s="32" t="str">
        <x:v>Acromax</x:v>
      </x:c>
      <x:c r="L445" s="32" t="str">
        <x:v>Tubo 30 g</x:v>
      </x:c>
      <x:c r="M445" s="28" t="n">
        <x:v>5</x:v>
      </x:c>
      <x:c r="N445" s="28" t="n">
        <x:v>60</x:v>
      </x:c>
      <x:c r="O445" s="28" t="n">
        <x:f>M445*N445</x:f>
        <x:v>300</x:v>
      </x:c>
      <x:c r="P445" s="24" t="n">
        <x:v>2.38</x:v>
      </x:c>
      <x:c r="Q445" s="26" t="n">
        <x:v>0.0416394023016651</x:v>
      </x:c>
      <x:c r="R445" s="24" t="n">
        <x:f>O445*P445*Q445</x:f>
        <x:v>29.730533243388884</x:v>
      </x:c>
      <x:c r="S445" s="24" t="n">
        <x:f>P445*(1-Q445)</x:f>
        <x:v>2.280898222522037</x:v>
      </x:c>
      <x:c r="T445" s="24" t="n">
        <x:f>O445*S445</x:f>
        <x:v>684.2694667566111</x:v>
      </x:c>
      <x:c r="U445" t="str">
        <x:v>NORTE</x:v>
      </x:c>
      <x:c r="V445" t="str">
        <x:v>Farmacia Norte</x:v>
      </x:c>
      <x:c r="W445" t="str">
        <x:v>Zona Norte</x:v>
      </x:c>
      <x:c r="X445" t="str">
        <x:v>Quito</x:v>
      </x:c>
      <x:c r="Y445" s="32" t="str">
        <x:v>Av. 10 de Agosto N45-20</x:v>
      </x:c>
      <x:c r="Z445" s="22" t="n">
        <x:v>45703</x:v>
      </x:c>
      <x:c r="AA445" t="str">
        <x:v>Recibido</x:v>
      </x:c>
      <x:c r="AB445" t="str">
        <x:v>Contado contra entrega</x:v>
      </x:c>
      <x:c r="AC445" s="32" t="str">
        <x:v>Entrega coordinada fuera de horario regular</x:v>
      </x:c>
    </x:row>
    <x:row r="446">
      <x:c r="A446" t="n">
        <x:v>445</x:v>
      </x:c>
      <x:c r="B446" s="22" t="n">
        <x:v>45995</x:v>
      </x:c>
      <x:c r="C446" t="str">
        <x:v>OC-2025-0445</x:v>
      </x:c>
      <x:c r="D446" t="str">
        <x:v>F-D005-202512-1507</x:v>
      </x:c>
      <x:c r="E446" t="str">
        <x:v>L2512-008-0445</x:v>
      </x:c>
      <x:c r="F446" t="str">
        <x:v>D005</x:v>
      </x:c>
      <x:c r="G446" s="32" t="str">
        <x:v>PharmaExpress Quito</x:v>
      </x:c>
      <x:c r="H446" t="str">
        <x:v>MED008</x:v>
      </x:c>
      <x:c r="I446" s="32" t="str">
        <x:v>Diclofenaco gel</x:v>
      </x:c>
      <x:c r="J446" s="32" t="str">
        <x:v>Dermatológicos</x:v>
      </x:c>
      <x:c r="K446" s="32" t="str">
        <x:v>Bayer</x:v>
      </x:c>
      <x:c r="L446" s="32" t="str">
        <x:v>Tubo 50 g</x:v>
      </x:c>
      <x:c r="M446" s="28" t="n">
        <x:v>18</x:v>
      </x:c>
      <x:c r="N446" s="28" t="n">
        <x:v>10</x:v>
      </x:c>
      <x:c r="O446" s="28" t="n">
        <x:f>M446*N446</x:f>
        <x:v>180</x:v>
      </x:c>
      <x:c r="P446" s="24" t="n">
        <x:v>2.02</x:v>
      </x:c>
      <x:c r="Q446" s="26" t="n">
        <x:v>0.06954897656524893</x:v>
      </x:c>
      <x:c r="R446" s="24" t="n">
        <x:f>O446*P446*Q446</x:f>
        <x:v>25.288007879124514</x:v>
      </x:c>
      <x:c r="S446" s="24" t="n">
        <x:f>P446*(1-Q446)</x:f>
        <x:v>1.8795110673381972</x:v>
      </x:c>
      <x:c r="T446" s="24" t="n">
        <x:f>O446*S446</x:f>
        <x:v>338.3119921208755</x:v>
      </x:c>
      <x:c r="U446" t="str">
        <x:v>SUR</x:v>
      </x:c>
      <x:c r="V446" t="str">
        <x:v>Farmacia del Sur</x:v>
      </x:c>
      <x:c r="W446" t="str">
        <x:v>Zona Sur</x:v>
      </x:c>
      <x:c r="X446" t="str">
        <x:v>Quito</x:v>
      </x:c>
      <x:c r="Y446" s="32" t="str">
        <x:v>Av. Maldonado S25-10</x:v>
      </x:c>
      <x:c r="Z446" s="22" t="n">
        <x:v>45996</x:v>
      </x:c>
      <x:c r="AA446" t="str">
        <x:v>Recibido</x:v>
      </x:c>
      <x:c r="AB446" t="str">
        <x:v>30 días crédito</x:v>
      </x:c>
      <x:c r="AC446" s="32" t="str"/>
    </x:row>
    <x:row r="447">
      <x:c r="A447" t="n">
        <x:v>446</x:v>
      </x:c>
      <x:c r="B447" s="22" t="n">
        <x:v>46385</x:v>
      </x:c>
      <x:c r="C447" t="str">
        <x:v>OC-2026-0446</x:v>
      </x:c>
      <x:c r="D447" t="str">
        <x:v>F-D001-202612-5035</x:v>
      </x:c>
      <x:c r="E447" t="str">
        <x:v>L2612-002-0446</x:v>
      </x:c>
      <x:c r="F447" t="str">
        <x:v>D001</x:v>
      </x:c>
      <x:c r="G447" s="32" t="str">
        <x:v>DistriFarma Andina S.A.</x:v>
      </x:c>
      <x:c r="H447" t="str">
        <x:v>MED002</x:v>
      </x:c>
      <x:c r="I447" s="32" t="str">
        <x:v>Ibuprofeno 400 mg</x:v>
      </x:c>
      <x:c r="J447" s="32" t="str">
        <x:v>Analgésicos</x:v>
      </x:c>
      <x:c r="K447" s="32" t="str">
        <x:v>La Santé</x:v>
      </x:c>
      <x:c r="L447" s="32" t="str">
        <x:v>Caja x 20 tabletas</x:v>
      </x:c>
      <x:c r="M447" s="28" t="n">
        <x:v>15</x:v>
      </x:c>
      <x:c r="N447" s="28" t="n">
        <x:v>24</x:v>
      </x:c>
      <x:c r="O447" s="28" t="n">
        <x:f>M447*N447</x:f>
        <x:v>360</x:v>
      </x:c>
      <x:c r="P447" s="24" t="n">
        <x:v>1.3</x:v>
      </x:c>
      <x:c r="Q447" s="26" t="n">
        <x:v>0.10008872958248634</x:v>
      </x:c>
      <x:c r="R447" s="24" t="n">
        <x:f>O447*P447*Q447</x:f>
        <x:v>46.841525444603604</x:v>
      </x:c>
      <x:c r="S447" s="24" t="n">
        <x:f>P447*(1-Q447)</x:f>
        <x:v>1.1698846515427677</x:v>
      </x:c>
      <x:c r="T447" s="24" t="n">
        <x:f>O447*S447</x:f>
        <x:v>421.15847455539637</x:v>
      </x:c>
      <x:c r="U447" t="str">
        <x:v>NORTE</x:v>
      </x:c>
      <x:c r="V447" t="str">
        <x:v>Farmacia Norte</x:v>
      </x:c>
      <x:c r="W447" t="str">
        <x:v>Zona Norte</x:v>
      </x:c>
      <x:c r="X447" t="str">
        <x:v>Quito</x:v>
      </x:c>
      <x:c r="Y447" s="32" t="str">
        <x:v>Av. 10 de Agosto N45-20</x:v>
      </x:c>
      <x:c r="Z447" s="22" t="n">
        <x:v>46387</x:v>
      </x:c>
      <x:c r="AA447" t="str">
        <x:v>Recibido</x:v>
      </x:c>
      <x:c r="AB447" t="str">
        <x:v>30 días crédito</x:v>
      </x:c>
      <x:c r="AC447" s="32" t="str"/>
    </x:row>
    <x:row r="448">
      <x:c r="A448" t="n">
        <x:v>447</x:v>
      </x:c>
      <x:c r="B448" s="22" t="n">
        <x:v>46223</x:v>
      </x:c>
      <x:c r="C448" t="str">
        <x:v>OC-2026-0447</x:v>
      </x:c>
      <x:c r="D448" t="str">
        <x:v>F-D005-202607-5577</x:v>
      </x:c>
      <x:c r="E448" t="str">
        <x:v>L2607-004-0447</x:v>
      </x:c>
      <x:c r="F448" t="str">
        <x:v>D005</x:v>
      </x:c>
      <x:c r="G448" s="32" t="str">
        <x:v>PharmaExpress Quito</x:v>
      </x:c>
      <x:c r="H448" t="str">
        <x:v>MED004</x:v>
      </x:c>
      <x:c r="I448" s="32" t="str">
        <x:v>Azitromicina 500 mg</x:v>
      </x:c>
      <x:c r="J448" s="32" t="str">
        <x:v>Antibióticos</x:v>
      </x:c>
      <x:c r="K448" s="32" t="str">
        <x:v>Pfizer</x:v>
      </x:c>
      <x:c r="L448" s="32" t="str">
        <x:v>Caja x 3 tabletas</x:v>
      </x:c>
      <x:c r="M448" s="28" t="n">
        <x:v>7</x:v>
      </x:c>
      <x:c r="N448" s="28" t="n">
        <x:v>30</x:v>
      </x:c>
      <x:c r="O448" s="28" t="n">
        <x:f>M448*N448</x:f>
        <x:v>210</x:v>
      </x:c>
      <x:c r="P448" s="24" t="n">
        <x:v>4.62</x:v>
      </x:c>
      <x:c r="Q448" s="26" t="n">
        <x:v>0.053397524347638274</x:v>
      </x:c>
      <x:c r="R448" s="24" t="n">
        <x:f>O448*P448*Q448</x:f>
        <x:v>51.80627812207866</x:v>
      </x:c>
      <x:c r="S448" s="24" t="n">
        <x:f>P448*(1-Q448)</x:f>
        <x:v>4.373303437513911</x:v>
      </x:c>
      <x:c r="T448" s="24" t="n">
        <x:f>O448*S448</x:f>
        <x:v>918.3937218779214</x:v>
      </x:c>
      <x:c r="U448" t="str">
        <x:v>VALLE</x:v>
      </x:c>
      <x:c r="V448" t="str">
        <x:v>Farmacia Valle de los Chillos</x:v>
      </x:c>
      <x:c r="W448" t="str">
        <x:v>Zona Valle</x:v>
      </x:c>
      <x:c r="X448" t="str">
        <x:v>Sangolquí</x:v>
      </x:c>
      <x:c r="Y448" s="32" t="str">
        <x:v>Av. Calderón 101</x:v>
      </x:c>
      <x:c r="Z448" s="22" t="n">
        <x:v>46224</x:v>
      </x:c>
      <x:c r="AA448" t="str">
        <x:v>Recibido</x:v>
      </x:c>
      <x:c r="AB448" t="str">
        <x:v>30 días crédito</x:v>
      </x:c>
      <x:c r="AC448" s="32" t="str"/>
    </x:row>
    <x:row r="449">
      <x:c r="A449" t="n">
        <x:v>448</x:v>
      </x:c>
      <x:c r="B449" s="22" t="n">
        <x:v>46221</x:v>
      </x:c>
      <x:c r="C449" t="str">
        <x:v>OC-2026-0448</x:v>
      </x:c>
      <x:c r="D449" t="str">
        <x:v>F-D005-202607-8537</x:v>
      </x:c>
      <x:c r="E449" t="str">
        <x:v>L2607-004-0448</x:v>
      </x:c>
      <x:c r="F449" t="str">
        <x:v>D005</x:v>
      </x:c>
      <x:c r="G449" s="32" t="str">
        <x:v>PharmaExpress Quito</x:v>
      </x:c>
      <x:c r="H449" t="str">
        <x:v>MED004</x:v>
      </x:c>
      <x:c r="I449" s="32" t="str">
        <x:v>Azitromicina 500 mg</x:v>
      </x:c>
      <x:c r="J449" s="32" t="str">
        <x:v>Antibióticos</x:v>
      </x:c>
      <x:c r="K449" s="32" t="str">
        <x:v>Pfizer</x:v>
      </x:c>
      <x:c r="L449" s="32" t="str">
        <x:v>Caja x 3 tabletas</x:v>
      </x:c>
      <x:c r="M449" s="28" t="n">
        <x:v>2</x:v>
      </x:c>
      <x:c r="N449" s="28" t="n">
        <x:v>50</x:v>
      </x:c>
      <x:c r="O449" s="28" t="n">
        <x:f>M449*N449</x:f>
        <x:v>100</x:v>
      </x:c>
      <x:c r="P449" s="24" t="n">
        <x:v>5.35</x:v>
      </x:c>
      <x:c r="Q449" s="26" t="n">
        <x:v>0.0616187535595409</x:v>
      </x:c>
      <x:c r="R449" s="24" t="n">
        <x:f>O449*P449*Q449</x:f>
        <x:v>32.96603315435438</x:v>
      </x:c>
      <x:c r="S449" s="24" t="n">
        <x:f>P449*(1-Q449)</x:f>
        <x:v>5.020339668456455</x:v>
      </x:c>
      <x:c r="T449" s="24" t="n">
        <x:f>O449*S449</x:f>
        <x:v>502.0339668456455</x:v>
      </x:c>
      <x:c r="U449" t="str">
        <x:v>CENTRO</x:v>
      </x:c>
      <x:c r="V449" t="str">
        <x:v>Farmacia Centro Histórico</x:v>
      </x:c>
      <x:c r="W449" t="str">
        <x:v>Zona Centro</x:v>
      </x:c>
      <x:c r="X449" t="str">
        <x:v>Quito</x:v>
      </x:c>
      <x:c r="Y449" s="32" t="str">
        <x:v>Guayaquil y Chile</x:v>
      </x:c>
      <x:c r="Z449" s="22" t="n">
        <x:v>46223</x:v>
      </x:c>
      <x:c r="AA449" t="str">
        <x:v>Recibido</x:v>
      </x:c>
      <x:c r="AB449" t="str">
        <x:v>30 días crédito</x:v>
      </x:c>
      <x:c r="AC449" s="32" t="str"/>
    </x:row>
    <x:row r="450">
      <x:c r="A450" t="n">
        <x:v>449</x:v>
      </x:c>
      <x:c r="B450" s="22" t="n">
        <x:v>46379</x:v>
      </x:c>
      <x:c r="C450" t="str">
        <x:v>OC-2026-0449</x:v>
      </x:c>
      <x:c r="D450" t="str">
        <x:v>F-D001-202612-3591</x:v>
      </x:c>
      <x:c r="E450" t="str">
        <x:v>L2612-005-0449</x:v>
      </x:c>
      <x:c r="F450" t="str">
        <x:v>D001</x:v>
      </x:c>
      <x:c r="G450" s="32" t="str">
        <x:v>DistriFarma Andina S.A.</x:v>
      </x:c>
      <x:c r="H450" t="str">
        <x:v>MED005</x:v>
      </x:c>
      <x:c r="I450" s="32" t="str">
        <x:v>Loratadina 10 mg</x:v>
      </x:c>
      <x:c r="J450" s="32" t="str">
        <x:v>Antigripales</x:v>
      </x:c>
      <x:c r="K450" s="32" t="str">
        <x:v>Genfar</x:v>
      </x:c>
      <x:c r="L450" s="32" t="str">
        <x:v>Caja x 10 tabletas</x:v>
      </x:c>
      <x:c r="M450" s="28" t="n">
        <x:v>3</x:v>
      </x:c>
      <x:c r="N450" s="28" t="n">
        <x:v>50</x:v>
      </x:c>
      <x:c r="O450" s="28" t="n">
        <x:f>M450*N450</x:f>
        <x:v>150</x:v>
      </x:c>
      <x:c r="P450" s="24" t="n">
        <x:v>1.11</x:v>
      </x:c>
      <x:c r="Q450" s="26" t="n">
        <x:v>0.09631648315518766</x:v>
      </x:c>
      <x:c r="R450" s="24" t="n">
        <x:f>O450*P450*Q450</x:f>
        <x:v>16.03669444533875</x:v>
      </x:c>
      <x:c r="S450" s="24" t="n">
        <x:f>P450*(1-Q450)</x:f>
        <x:v>1.0030887036977418</x:v>
      </x:c>
      <x:c r="T450" s="24" t="n">
        <x:f>O450*S450</x:f>
        <x:v>150.46330555466128</x:v>
      </x:c>
      <x:c r="U450" t="str">
        <x:v>VALLE</x:v>
      </x:c>
      <x:c r="V450" t="str">
        <x:v>Farmacia Valle de los Chillos</x:v>
      </x:c>
      <x:c r="W450" t="str">
        <x:v>Zona Valle</x:v>
      </x:c>
      <x:c r="X450" t="str">
        <x:v>Sangolquí</x:v>
      </x:c>
      <x:c r="Y450" s="32" t="str">
        <x:v>Av. Calderón 101</x:v>
      </x:c>
      <x:c r="Z450" s="22" t="n">
        <x:v>46382</x:v>
      </x:c>
      <x:c r="AA450" t="str">
        <x:v>Recibido</x:v>
      </x:c>
      <x:c r="AB450" t="str">
        <x:v>30 días crédito</x:v>
      </x:c>
      <x:c r="AC450" s="32" t="str">
        <x:v>Entrega coordinada fuera de horario regular</x:v>
      </x:c>
    </x:row>
    <x:row r="451">
      <x:c r="A451" t="n">
        <x:v>450</x:v>
      </x:c>
      <x:c r="B451" s="22" t="n">
        <x:v>45873</x:v>
      </x:c>
      <x:c r="C451" t="str">
        <x:v>OC-2025-0450</x:v>
      </x:c>
      <x:c r="D451" t="str">
        <x:v>F-D001-202508-1318</x:v>
      </x:c>
      <x:c r="E451" t="str">
        <x:v>L2508-005-0450</x:v>
      </x:c>
      <x:c r="F451" t="str">
        <x:v>D001</x:v>
      </x:c>
      <x:c r="G451" s="32" t="str">
        <x:v>DistriFarma Andina S.A.</x:v>
      </x:c>
      <x:c r="H451" t="str">
        <x:v>MED005</x:v>
      </x:c>
      <x:c r="I451" s="32" t="str">
        <x:v>Loratadina 10 mg</x:v>
      </x:c>
      <x:c r="J451" s="32" t="str">
        <x:v>Antigripales</x:v>
      </x:c>
      <x:c r="K451" s="32" t="str">
        <x:v>Genfar</x:v>
      </x:c>
      <x:c r="L451" s="32" t="str">
        <x:v>Caja x 10 tabletas</x:v>
      </x:c>
      <x:c r="M451" s="28" t="n">
        <x:v>24</x:v>
      </x:c>
      <x:c r="N451" s="28" t="n">
        <x:v>10</x:v>
      </x:c>
      <x:c r="O451" s="28" t="n">
        <x:f>M451*N451</x:f>
        <x:v>240</x:v>
      </x:c>
      <x:c r="P451" s="24" t="n">
        <x:v>1.04</x:v>
      </x:c>
      <x:c r="Q451" s="26" t="n">
        <x:v>0.05755883344237657</x:v>
      </x:c>
      <x:c r="R451" s="24" t="n">
        <x:f>O451*P451*Q451</x:f>
        <x:v>14.366684827217194</x:v>
      </x:c>
      <x:c r="S451" s="24" t="n">
        <x:f>P451*(1-Q451)</x:f>
        <x:v>0.9801388132199285</x:v>
      </x:c>
      <x:c r="T451" s="24" t="n">
        <x:f>O451*S451</x:f>
        <x:v>235.23331517278282</x:v>
      </x:c>
      <x:c r="U451" t="str">
        <x:v>SUR</x:v>
      </x:c>
      <x:c r="V451" t="str">
        <x:v>Farmacia del Sur</x:v>
      </x:c>
      <x:c r="W451" t="str">
        <x:v>Zona Sur</x:v>
      </x:c>
      <x:c r="X451" t="str">
        <x:v>Quito</x:v>
      </x:c>
      <x:c r="Y451" s="32" t="str">
        <x:v>Av. Maldonado S25-10</x:v>
      </x:c>
      <x:c r="Z451" s="22" t="n">
        <x:v>45874</x:v>
      </x:c>
      <x:c r="AA451" t="str">
        <x:v>Recibido</x:v>
      </x:c>
      <x:c r="AB451" t="str">
        <x:v>30 días crédito</x:v>
      </x:c>
      <x:c r="AC451" s="32" t="str"/>
    </x:row>
    <x:row r="452">
      <x:c r="A452" t="n">
        <x:v>451</x:v>
      </x:c>
      <x:c r="B452" s="22" t="n">
        <x:v>45690</x:v>
      </x:c>
      <x:c r="C452" t="str">
        <x:v>OC-2025-0451</x:v>
      </x:c>
      <x:c r="D452" t="str">
        <x:v>F-D006-202502-8977</x:v>
      </x:c>
      <x:c r="E452" t="str">
        <x:v>L2502-002-0451</x:v>
      </x:c>
      <x:c r="F452" t="str">
        <x:v>D006</x:v>
      </x:c>
      <x:c r="G452" s="32" t="str">
        <x:v>Insumos Médicos del Pacífico</x:v>
      </x:c>
      <x:c r="H452" t="str">
        <x:v>MED002</x:v>
      </x:c>
      <x:c r="I452" s="32" t="str">
        <x:v>Ibuprofeno 400 mg</x:v>
      </x:c>
      <x:c r="J452" s="32" t="str">
        <x:v>Analgésicos</x:v>
      </x:c>
      <x:c r="K452" s="32" t="str">
        <x:v>La Santé</x:v>
      </x:c>
      <x:c r="L452" s="32" t="str">
        <x:v>Caja x 20 tabletas</x:v>
      </x:c>
      <x:c r="M452" s="28" t="n">
        <x:v>6</x:v>
      </x:c>
      <x:c r="N452" s="28" t="n">
        <x:v>60</x:v>
      </x:c>
      <x:c r="O452" s="28" t="n">
        <x:f>M452*N452</x:f>
        <x:v>360</x:v>
      </x:c>
      <x:c r="P452" s="24" t="n">
        <x:v>1.22</x:v>
      </x:c>
      <x:c r="Q452" s="26" t="n">
        <x:v>0.10041443853224619</x:v>
      </x:c>
      <x:c r="R452" s="24" t="n">
        <x:f>O452*P452*Q452</x:f>
        <x:v>44.10202140336252</x:v>
      </x:c>
      <x:c r="S452" s="24" t="n">
        <x:f>P452*(1-Q452)</x:f>
        <x:v>1.0974943849906595</x:v>
      </x:c>
      <x:c r="T452" s="24" t="n">
        <x:f>O452*S452</x:f>
        <x:v>395.09797859663746</x:v>
      </x:c>
      <x:c r="U452" t="str">
        <x:v>CENTRO</x:v>
      </x:c>
      <x:c r="V452" t="str">
        <x:v>Farmacia Centro Histórico</x:v>
      </x:c>
      <x:c r="W452" t="str">
        <x:v>Zona Centro</x:v>
      </x:c>
      <x:c r="X452" t="str">
        <x:v>Quito</x:v>
      </x:c>
      <x:c r="Y452" s="32" t="str">
        <x:v>Guayaquil y Chile</x:v>
      </x:c>
      <x:c r="Z452" s="22" t="n">
        <x:v>45693</x:v>
      </x:c>
      <x:c r="AA452" t="str">
        <x:v>Recibido</x:v>
      </x:c>
      <x:c r="AB452" t="str">
        <x:v>60 días crédito</x:v>
      </x:c>
      <x:c r="AC452" s="32" t="str"/>
    </x:row>
    <x:row r="453">
      <x:c r="A453" t="n">
        <x:v>452</x:v>
      </x:c>
      <x:c r="B453" s="22" t="n">
        <x:v>46155</x:v>
      </x:c>
      <x:c r="C453" t="str">
        <x:v>OC-2026-0452</x:v>
      </x:c>
      <x:c r="D453" t="str">
        <x:v>F-D005-202605-6077</x:v>
      </x:c>
      <x:c r="E453" t="str">
        <x:v>L2605-005-0452</x:v>
      </x:c>
      <x:c r="F453" t="str">
        <x:v>D005</x:v>
      </x:c>
      <x:c r="G453" s="32" t="str">
        <x:v>PharmaExpress Quito</x:v>
      </x:c>
      <x:c r="H453" t="str">
        <x:v>MED005</x:v>
      </x:c>
      <x:c r="I453" s="32" t="str">
        <x:v>Loratadina 10 mg</x:v>
      </x:c>
      <x:c r="J453" s="32" t="str">
        <x:v>Antigripales</x:v>
      </x:c>
      <x:c r="K453" s="32" t="str">
        <x:v>Genfar</x:v>
      </x:c>
      <x:c r="L453" s="32" t="str">
        <x:v>Caja x 10 tabletas</x:v>
      </x:c>
      <x:c r="M453" s="28" t="n">
        <x:v>18</x:v>
      </x:c>
      <x:c r="N453" s="28" t="n">
        <x:v>10</x:v>
      </x:c>
      <x:c r="O453" s="28" t="n">
        <x:f>M453*N453</x:f>
        <x:v>180</x:v>
      </x:c>
      <x:c r="P453" s="24" t="n">
        <x:v>1.07</x:v>
      </x:c>
      <x:c r="Q453" s="26" t="n">
        <x:v>0.08759786444769978</x:v>
      </x:c>
      <x:c r="R453" s="24" t="n">
        <x:f>O453*P453*Q453</x:f>
        <x:v>16.87134869262698</x:v>
      </x:c>
      <x:c r="S453" s="24" t="n">
        <x:f>P453*(1-Q453)</x:f>
        <x:v>0.9762702850409612</x:v>
      </x:c>
      <x:c r="T453" s="24" t="n">
        <x:f>O453*S453</x:f>
        <x:v>175.728651307373</x:v>
      </x:c>
      <x:c r="U453" t="str">
        <x:v>SUR</x:v>
      </x:c>
      <x:c r="V453" t="str">
        <x:v>Farmacia del Sur</x:v>
      </x:c>
      <x:c r="W453" t="str">
        <x:v>Zona Sur</x:v>
      </x:c>
      <x:c r="X453" t="str">
        <x:v>Quito</x:v>
      </x:c>
      <x:c r="Y453" s="32" t="str">
        <x:v>Av. Maldonado S25-10</x:v>
      </x:c>
      <x:c r="Z453" s="22" t="n">
        <x:v>46160</x:v>
      </x:c>
      <x:c r="AA453" t="str">
        <x:v>Recibido</x:v>
      </x:c>
      <x:c r="AB453" t="str">
        <x:v>30 días crédito</x:v>
      </x:c>
      <x:c r="AC453" s="32" t="str"/>
    </x:row>
    <x:row r="454">
      <x:c r="A454" t="n">
        <x:v>453</x:v>
      </x:c>
      <x:c r="B454" s="22" t="n">
        <x:v>46357</x:v>
      </x:c>
      <x:c r="C454" t="str">
        <x:v>OC-2026-0453</x:v>
      </x:c>
      <x:c r="D454" t="str">
        <x:v>F-D008-202612-3655</x:v>
      </x:c>
      <x:c r="E454" t="str">
        <x:v>L2612-005-0453</x:v>
      </x:c>
      <x:c r="F454" t="str">
        <x:v>D008</x:v>
      </x:c>
      <x:c r="G454" s="32" t="str">
        <x:v>Mayorista MedicPlus</x:v>
      </x:c>
      <x:c r="H454" t="str">
        <x:v>MED005</x:v>
      </x:c>
      <x:c r="I454" s="32" t="str">
        <x:v>Loratadina 10 mg</x:v>
      </x:c>
      <x:c r="J454" s="32" t="str">
        <x:v>Antigripales</x:v>
      </x:c>
      <x:c r="K454" s="32" t="str">
        <x:v>Genfar</x:v>
      </x:c>
      <x:c r="L454" s="32" t="str">
        <x:v>Caja x 10 tabletas</x:v>
      </x:c>
      <x:c r="M454" s="28" t="n">
        <x:v>5</x:v>
      </x:c>
      <x:c r="N454" s="28" t="n">
        <x:v>24</x:v>
      </x:c>
      <x:c r="O454" s="28" t="n">
        <x:f>M454*N454</x:f>
        <x:v>120</x:v>
      </x:c>
      <x:c r="P454" s="24" t="n">
        <x:v>1.2</x:v>
      </x:c>
      <x:c r="Q454" s="26" t="n">
        <x:v>0.06677871837191594</x:v>
      </x:c>
      <x:c r="R454" s="24" t="n">
        <x:f>O454*P454*Q454</x:f>
        <x:v>9.616135445555896</x:v>
      </x:c>
      <x:c r="S454" s="24" t="n">
        <x:f>P454*(1-Q454)</x:f>
        <x:v>1.1198655379537008</x:v>
      </x:c>
      <x:c r="T454" s="24" t="n">
        <x:f>O454*S454</x:f>
        <x:v>134.3838645544441</x:v>
      </x:c>
      <x:c r="U454" t="str">
        <x:v>CENTRO</x:v>
      </x:c>
      <x:c r="V454" t="str">
        <x:v>Farmacia Centro Histórico</x:v>
      </x:c>
      <x:c r="W454" t="str">
        <x:v>Zona Centro</x:v>
      </x:c>
      <x:c r="X454" t="str">
        <x:v>Quito</x:v>
      </x:c>
      <x:c r="Y454" s="32" t="str">
        <x:v>Guayaquil y Chile</x:v>
      </x:c>
      <x:c r="Z454" s="22" t="n">
        <x:v>46361</x:v>
      </x:c>
      <x:c r="AA454" t="str">
        <x:v>Recibido</x:v>
      </x:c>
      <x:c r="AB454" t="str">
        <x:v>30 días crédito</x:v>
      </x:c>
      <x:c r="AC454" s="32" t="str">
        <x:v>Entrega coordinada fuera de horario regular</x:v>
      </x:c>
    </x:row>
    <x:row r="455">
      <x:c r="A455" t="n">
        <x:v>454</x:v>
      </x:c>
      <x:c r="B455" s="22" t="n">
        <x:v>46003</x:v>
      </x:c>
      <x:c r="C455" t="str">
        <x:v>OC-2025-0454</x:v>
      </x:c>
      <x:c r="D455" t="str">
        <x:v>F-D005-202512-2568</x:v>
      </x:c>
      <x:c r="E455" t="str">
        <x:v>L2512-005-0454</x:v>
      </x:c>
      <x:c r="F455" t="str">
        <x:v>D005</x:v>
      </x:c>
      <x:c r="G455" s="32" t="str">
        <x:v>PharmaExpress Quito</x:v>
      </x:c>
      <x:c r="H455" t="str">
        <x:v>MED005</x:v>
      </x:c>
      <x:c r="I455" s="32" t="str">
        <x:v>Loratadina 10 mg</x:v>
      </x:c>
      <x:c r="J455" s="32" t="str">
        <x:v>Antigripales</x:v>
      </x:c>
      <x:c r="K455" s="32" t="str">
        <x:v>Genfar</x:v>
      </x:c>
      <x:c r="L455" s="32" t="str">
        <x:v>Caja x 10 tabletas</x:v>
      </x:c>
      <x:c r="M455" s="28" t="n">
        <x:v>2</x:v>
      </x:c>
      <x:c r="N455" s="28" t="n">
        <x:v>60</x:v>
      </x:c>
      <x:c r="O455" s="28" t="n">
        <x:f>M455*N455</x:f>
        <x:v>120</x:v>
      </x:c>
      <x:c r="P455" s="24" t="n">
        <x:v>1.06</x:v>
      </x:c>
      <x:c r="Q455" s="26" t="n">
        <x:v>0.05305319532684701</x:v>
      </x:c>
      <x:c r="R455" s="24" t="n">
        <x:f>O455*P455*Q455</x:f>
        <x:v>6.74836644557494</x:v>
      </x:c>
      <x:c r="S455" s="24" t="n">
        <x:f>P455*(1-Q455)</x:f>
        <x:v>1.003763612953542</x:v>
      </x:c>
      <x:c r="T455" s="24" t="n">
        <x:f>O455*S455</x:f>
        <x:v>120.45163355442506</x:v>
      </x:c>
      <x:c r="U455" t="str">
        <x:v>NORTE</x:v>
      </x:c>
      <x:c r="V455" t="str">
        <x:v>Farmacia Norte</x:v>
      </x:c>
      <x:c r="W455" t="str">
        <x:v>Zona Norte</x:v>
      </x:c>
      <x:c r="X455" t="str">
        <x:v>Quito</x:v>
      </x:c>
      <x:c r="Y455" s="32" t="str">
        <x:v>Av. 10 de Agosto N45-20</x:v>
      </x:c>
      <x:c r="Z455" s="22" t="n">
        <x:v>46005</x:v>
      </x:c>
      <x:c r="AA455" t="str">
        <x:v>Recibido</x:v>
      </x:c>
      <x:c r="AB455" t="str">
        <x:v>30 días crédito</x:v>
      </x:c>
      <x:c r="AC455" s="32" t="str">
        <x:v>Entrega coordinada fuera de horario regular</x:v>
      </x:c>
    </x:row>
    <x:row r="456">
      <x:c r="A456" t="n">
        <x:v>455</x:v>
      </x:c>
      <x:c r="B456" s="22" t="n">
        <x:v>46167</x:v>
      </x:c>
      <x:c r="C456" t="str">
        <x:v>OC-2026-0455</x:v>
      </x:c>
      <x:c r="D456" t="str">
        <x:v>F-D008-202605-7744</x:v>
      </x:c>
      <x:c r="E456" t="str">
        <x:v>L2605-009-0455</x:v>
      </x:c>
      <x:c r="F456" t="str">
        <x:v>D008</x:v>
      </x:c>
      <x:c r="G456" s="32" t="str">
        <x:v>Mayorista MedicPlus</x:v>
      </x:c>
      <x:c r="H456" t="str">
        <x:v>MED009</x:v>
      </x:c>
      <x:c r="I456" s="32" t="str">
        <x:v>Losartán 50 mg</x:v>
      </x:c>
      <x:c r="J456" s="32" t="str">
        <x:v>Cardiovasculares</x:v>
      </x:c>
      <x:c r="K456" s="32" t="str">
        <x:v>Laboratorios Bagó</x:v>
      </x:c>
      <x:c r="L456" s="32" t="str">
        <x:v>Caja x 30 tabletas</x:v>
      </x:c>
      <x:c r="M456" s="28" t="n">
        <x:v>10</x:v>
      </x:c>
      <x:c r="N456" s="28" t="n">
        <x:v>50</x:v>
      </x:c>
      <x:c r="O456" s="28" t="n">
        <x:f>M456*N456</x:f>
        <x:v>500</x:v>
      </x:c>
      <x:c r="P456" s="24" t="n">
        <x:v>3.27</x:v>
      </x:c>
      <x:c r="Q456" s="26" t="n">
        <x:v>0.12722615435924317</x:v>
      </x:c>
      <x:c r="R456" s="24" t="n">
        <x:f>O456*P456*Q456</x:f>
        <x:v>208.0147623773626</x:v>
      </x:c>
      <x:c r="S456" s="24" t="n">
        <x:f>P456*(1-Q456)</x:f>
        <x:v>2.8539704752452746</x:v>
      </x:c>
      <x:c r="T456" s="24" t="n">
        <x:f>O456*S456</x:f>
        <x:v>1426.9852376226372</x:v>
      </x:c>
      <x:c r="U456" t="str">
        <x:v>VALLE</x:v>
      </x:c>
      <x:c r="V456" t="str">
        <x:v>Farmacia Valle de los Chillos</x:v>
      </x:c>
      <x:c r="W456" t="str">
        <x:v>Zona Valle</x:v>
      </x:c>
      <x:c r="X456" t="str">
        <x:v>Sangolquí</x:v>
      </x:c>
      <x:c r="Y456" s="32" t="str">
        <x:v>Av. Calderón 101</x:v>
      </x:c>
      <x:c r="Z456" s="22" t="n">
        <x:v>46168</x:v>
      </x:c>
      <x:c r="AA456" t="str">
        <x:v>Recibido</x:v>
      </x:c>
      <x:c r="AB456" t="str">
        <x:v>30 días crédito</x:v>
      </x:c>
      <x:c r="AC456" s="32" t="str"/>
    </x:row>
    <x:row r="457">
      <x:c r="A457" t="n">
        <x:v>456</x:v>
      </x:c>
      <x:c r="B457" s="22" t="n">
        <x:v>45941</x:v>
      </x:c>
      <x:c r="C457" t="str">
        <x:v>OC-2025-0456</x:v>
      </x:c>
      <x:c r="D457" t="str">
        <x:v>F-D005-202510-8535</x:v>
      </x:c>
      <x:c r="E457" t="str">
        <x:v>L2510-006-0456</x:v>
      </x:c>
      <x:c r="F457" t="str">
        <x:v>D005</x:v>
      </x:c>
      <x:c r="G457" s="32" t="str">
        <x:v>PharmaExpress Quito</x:v>
      </x:c>
      <x:c r="H457" t="str">
        <x:v>MED006</x:v>
      </x:c>
      <x:c r="I457" s="32" t="str">
        <x:v>Vitamina C 1 g</x:v>
      </x:c>
      <x:c r="J457" s="32" t="str">
        <x:v>Vitaminas</x:v>
      </x:c>
      <x:c r="K457" s="32" t="str">
        <x:v>Novartis</x:v>
      </x:c>
      <x:c r="L457" s="32" t="str">
        <x:v>Tubo x 10 efervescentes</x:v>
      </x:c>
      <x:c r="M457" s="28" t="n">
        <x:v>60</x:v>
      </x:c>
      <x:c r="N457" s="28" t="n">
        <x:v>10</x:v>
      </x:c>
      <x:c r="O457" s="28" t="n">
        <x:f>M457*N457</x:f>
        <x:v>600</x:v>
      </x:c>
      <x:c r="P457" s="24" t="n">
        <x:v>2.37</x:v>
      </x:c>
      <x:c r="Q457" s="26" t="n">
        <x:v>0.08426526608882909</x:v>
      </x:c>
      <x:c r="R457" s="24" t="n">
        <x:f>O457*P457*Q457</x:f>
        <x:v>119.82520837831497</x:v>
      </x:c>
      <x:c r="S457" s="24" t="n">
        <x:f>P457*(1-Q457)</x:f>
        <x:v>2.170291319369475</x:v>
      </x:c>
      <x:c r="T457" s="24" t="n">
        <x:f>O457*S457</x:f>
        <x:v>1302.174791621685</x:v>
      </x:c>
      <x:c r="U457" t="str">
        <x:v>CENTRO</x:v>
      </x:c>
      <x:c r="V457" t="str">
        <x:v>Farmacia Centro Histórico</x:v>
      </x:c>
      <x:c r="W457" t="str">
        <x:v>Zona Centro</x:v>
      </x:c>
      <x:c r="X457" t="str">
        <x:v>Quito</x:v>
      </x:c>
      <x:c r="Y457" s="32" t="str">
        <x:v>Guayaquil y Chile</x:v>
      </x:c>
      <x:c r="Z457" s="22" t="n">
        <x:v>45943</x:v>
      </x:c>
      <x:c r="AA457" t="str">
        <x:v>Recibido</x:v>
      </x:c>
      <x:c r="AB457" t="str">
        <x:v>30 días crédito</x:v>
      </x:c>
      <x:c r="AC457" s="32" t="str"/>
    </x:row>
    <x:row r="458">
      <x:c r="A458" t="n">
        <x:v>457</x:v>
      </x:c>
      <x:c r="B458" s="22" t="n">
        <x:v>45956</x:v>
      </x:c>
      <x:c r="C458" t="str">
        <x:v>OC-2025-0457</x:v>
      </x:c>
      <x:c r="D458" t="str">
        <x:v>F-D004-202510-8018</x:v>
      </x:c>
      <x:c r="E458" t="str">
        <x:v>L2510-011-0457</x:v>
      </x:c>
      <x:c r="F458" t="str">
        <x:v>D004</x:v>
      </x:c>
      <x:c r="G458" s="32" t="str">
        <x:v>Distribuidora Salud Total</x:v>
      </x:c>
      <x:c r="H458" t="str">
        <x:v>MED011</x:v>
      </x:c>
      <x:c r="I458" s="32" t="str">
        <x:v>Jarabe antigripal</x:v>
      </x:c>
      <x:c r="J458" s="32" t="str">
        <x:v>Antigripales</x:v>
      </x:c>
      <x:c r="K458" s="32" t="str">
        <x:v>MEDICAMENTA</x:v>
      </x:c>
      <x:c r="L458" s="32" t="str">
        <x:v>Frasco 120 ml</x:v>
      </x:c>
      <x:c r="M458" s="28" t="n">
        <x:v>4</x:v>
      </x:c>
      <x:c r="N458" s="28" t="n">
        <x:v>30</x:v>
      </x:c>
      <x:c r="O458" s="28" t="n">
        <x:f>M458*N458</x:f>
        <x:v>120</x:v>
      </x:c>
      <x:c r="P458" s="24" t="n">
        <x:v>2.48</x:v>
      </x:c>
      <x:c r="Q458" s="26" t="n">
        <x:v>0.08009044764706894</x:v>
      </x:c>
      <x:c r="R458" s="24" t="n">
        <x:f>O458*P458*Q458</x:f>
        <x:v>23.834917219767718</x:v>
      </x:c>
      <x:c r="S458" s="24" t="n">
        <x:f>P458*(1-Q458)</x:f>
        <x:v>2.281375689835269</x:v>
      </x:c>
      <x:c r="T458" s="24" t="n">
        <x:f>O458*S458</x:f>
        <x:v>273.76508278023226</x:v>
      </x:c>
      <x:c r="U458" t="str">
        <x:v>NORTE</x:v>
      </x:c>
      <x:c r="V458" t="str">
        <x:v>Farmacia Norte</x:v>
      </x:c>
      <x:c r="W458" t="str">
        <x:v>Zona Norte</x:v>
      </x:c>
      <x:c r="X458" t="str">
        <x:v>Quito</x:v>
      </x:c>
      <x:c r="Y458" s="32" t="str">
        <x:v>Av. 10 de Agosto N45-20</x:v>
      </x:c>
      <x:c r="Z458" s="22" t="n">
        <x:v>45959</x:v>
      </x:c>
      <x:c r="AA458" t="str">
        <x:v>Recibido</x:v>
      </x:c>
      <x:c r="AB458" t="str">
        <x:v>45 días crédito</x:v>
      </x:c>
      <x:c r="AC458" s="32" t="str"/>
    </x:row>
    <x:row r="459">
      <x:c r="A459" t="n">
        <x:v>458</x:v>
      </x:c>
      <x:c r="B459" s="22" t="n">
        <x:v>46141</x:v>
      </x:c>
      <x:c r="C459" t="str">
        <x:v>OC-2026-0458</x:v>
      </x:c>
      <x:c r="D459" t="str">
        <x:v>F-D004-202604-6934</x:v>
      </x:c>
      <x:c r="E459" t="str">
        <x:v>L2604-014-0458</x:v>
      </x:c>
      <x:c r="F459" t="str">
        <x:v>D004</x:v>
      </x:c>
      <x:c r="G459" s="32" t="str">
        <x:v>Distribuidora Salud Total</x:v>
      </x:c>
      <x:c r="H459" t="str">
        <x:v>MED014</x:v>
      </x:c>
      <x:c r="I459" s="32" t="str">
        <x:v>Crema antimicótica</x:v>
      </x:c>
      <x:c r="J459" s="32" t="str">
        <x:v>Dermatológicos</x:v>
      </x:c>
      <x:c r="K459" s="32" t="str">
        <x:v>Acromax</x:v>
      </x:c>
      <x:c r="L459" s="32" t="str">
        <x:v>Tubo 30 g</x:v>
      </x:c>
      <x:c r="M459" s="28" t="n">
        <x:v>6</x:v>
      </x:c>
      <x:c r="N459" s="28" t="n">
        <x:v>20</x:v>
      </x:c>
      <x:c r="O459" s="28" t="n">
        <x:f>M459*N459</x:f>
        <x:v>120</x:v>
      </x:c>
      <x:c r="P459" s="24" t="n">
        <x:v>2.59</x:v>
      </x:c>
      <x:c r="Q459" s="26" t="n">
        <x:v>0.10306491758846846</x:v>
      </x:c>
      <x:c r="R459" s="24" t="n">
        <x:f>O459*P459*Q459</x:f>
        <x:v>32.03257638649599</x:v>
      </x:c>
      <x:c r="S459" s="24" t="n">
        <x:f>P459*(1-Q459)</x:f>
        <x:v>2.3230618634458664</x:v>
      </x:c>
      <x:c r="T459" s="24" t="n">
        <x:f>O459*S459</x:f>
        <x:v>278.767423613504</x:v>
      </x:c>
      <x:c r="U459" t="str">
        <x:v>CENTRO</x:v>
      </x:c>
      <x:c r="V459" t="str">
        <x:v>Farmacia Centro Histórico</x:v>
      </x:c>
      <x:c r="W459" t="str">
        <x:v>Zona Centro</x:v>
      </x:c>
      <x:c r="X459" t="str">
        <x:v>Quito</x:v>
      </x:c>
      <x:c r="Y459" s="32" t="str">
        <x:v>Guayaquil y Chile</x:v>
      </x:c>
      <x:c r="Z459" s="22" t="n">
        <x:v>46146</x:v>
      </x:c>
      <x:c r="AA459" t="str">
        <x:v>Recibido</x:v>
      </x:c>
      <x:c r="AB459" t="str">
        <x:v>45 días crédito</x:v>
      </x:c>
      <x:c r="AC459" s="32" t="str"/>
    </x:row>
    <x:row r="460">
      <x:c r="A460" t="n">
        <x:v>459</x:v>
      </x:c>
      <x:c r="B460" s="22" t="n">
        <x:v>46014</x:v>
      </x:c>
      <x:c r="C460" t="str">
        <x:v>OC-2025-0459</x:v>
      </x:c>
      <x:c r="D460" t="str">
        <x:v>F-D006-202512-1056</x:v>
      </x:c>
      <x:c r="E460" t="str">
        <x:v>L2512-007-0459</x:v>
      </x:c>
      <x:c r="F460" t="str">
        <x:v>D006</x:v>
      </x:c>
      <x:c r="G460" s="32" t="str">
        <x:v>Insumos Médicos del Pacífico</x:v>
      </x:c>
      <x:c r="H460" t="str">
        <x:v>MED007</x:v>
      </x:c>
      <x:c r="I460" s="32" t="str">
        <x:v>Omeprazol 20 mg</x:v>
      </x:c>
      <x:c r="J460" s="32" t="str">
        <x:v>Gastrointestinales</x:v>
      </x:c>
      <x:c r="K460" s="32" t="str">
        <x:v>La Santé</x:v>
      </x:c>
      <x:c r="L460" s="32" t="str">
        <x:v>Caja x 30 cápsulas</x:v>
      </x:c>
      <x:c r="M460" s="28" t="n">
        <x:v>48</x:v>
      </x:c>
      <x:c r="N460" s="28" t="n">
        <x:v>10</x:v>
      </x:c>
      <x:c r="O460" s="28" t="n">
        <x:f>M460*N460</x:f>
        <x:v>480</x:v>
      </x:c>
      <x:c r="P460" s="24" t="n">
        <x:v>3.04</x:v>
      </x:c>
      <x:c r="Q460" s="26" t="n">
        <x:v>0.11754388470331886</x:v>
      </x:c>
      <x:c r="R460" s="24" t="n">
        <x:f>O460*P460*Q460</x:f>
        <x:v>171.52003655908288</x:v>
      </x:c>
      <x:c r="S460" s="24" t="n">
        <x:f>P460*(1-Q460)</x:f>
        <x:v>2.6826665905019107</x:v>
      </x:c>
      <x:c r="T460" s="24" t="n">
        <x:f>O460*S460</x:f>
        <x:v>1287.6799634409172</x:v>
      </x:c>
      <x:c r="U460" t="str">
        <x:v>NORTE</x:v>
      </x:c>
      <x:c r="V460" t="str">
        <x:v>Farmacia Norte</x:v>
      </x:c>
      <x:c r="W460" t="str">
        <x:v>Zona Norte</x:v>
      </x:c>
      <x:c r="X460" t="str">
        <x:v>Quito</x:v>
      </x:c>
      <x:c r="Y460" s="32" t="str">
        <x:v>Av. 10 de Agosto N45-20</x:v>
      </x:c>
      <x:c r="Z460" s="22" t="n">
        <x:v>46016</x:v>
      </x:c>
      <x:c r="AA460" t="str">
        <x:v>Recibido</x:v>
      </x:c>
      <x:c r="AB460" t="str">
        <x:v>60 días crédito</x:v>
      </x:c>
      <x:c r="AC460" s="32" t="str"/>
    </x:row>
    <x:row r="461">
      <x:c r="A461" t="n">
        <x:v>460</x:v>
      </x:c>
      <x:c r="B461" s="22" t="n">
        <x:v>45751</x:v>
      </x:c>
      <x:c r="C461" t="str">
        <x:v>OC-2025-0460</x:v>
      </x:c>
      <x:c r="D461" t="str">
        <x:v>F-D001-202504-2650</x:v>
      </x:c>
      <x:c r="E461" t="str">
        <x:v>L2504-007-0460</x:v>
      </x:c>
      <x:c r="F461" t="str">
        <x:v>D001</x:v>
      </x:c>
      <x:c r="G461" s="32" t="str">
        <x:v>DistriFarma Andina S.A.</x:v>
      </x:c>
      <x:c r="H461" t="str">
        <x:v>MED007</x:v>
      </x:c>
      <x:c r="I461" s="32" t="str">
        <x:v>Omeprazol 20 mg</x:v>
      </x:c>
      <x:c r="J461" s="32" t="str">
        <x:v>Gastrointestinales</x:v>
      </x:c>
      <x:c r="K461" s="32" t="str">
        <x:v>La Santé</x:v>
      </x:c>
      <x:c r="L461" s="32" t="str">
        <x:v>Caja x 30 cápsulas</x:v>
      </x:c>
      <x:c r="M461" s="28" t="n">
        <x:v>8</x:v>
      </x:c>
      <x:c r="N461" s="28" t="n">
        <x:v>30</x:v>
      </x:c>
      <x:c r="O461" s="28" t="n">
        <x:f>M461*N461</x:f>
        <x:v>240</x:v>
      </x:c>
      <x:c r="P461" s="24" t="n">
        <x:v>2.79</x:v>
      </x:c>
      <x:c r="Q461" s="26" t="n">
        <x:v>0.08072528667796317</x:v>
      </x:c>
      <x:c r="R461" s="24" t="n">
        <x:f>O461*P461*Q461</x:f>
        <x:v>54.053651959564135</x:v>
      </x:c>
      <x:c r="S461" s="24" t="n">
        <x:f>P461*(1-Q461)</x:f>
        <x:v>2.5647764501684827</x:v>
      </x:c>
      <x:c r="T461" s="24" t="n">
        <x:f>O461*S461</x:f>
        <x:v>615.5463480404359</x:v>
      </x:c>
      <x:c r="U461" t="str">
        <x:v>CENTRO</x:v>
      </x:c>
      <x:c r="V461" t="str">
        <x:v>Farmacia Centro Histórico</x:v>
      </x:c>
      <x:c r="W461" t="str">
        <x:v>Zona Centro</x:v>
      </x:c>
      <x:c r="X461" t="str">
        <x:v>Quito</x:v>
      </x:c>
      <x:c r="Y461" s="32" t="str">
        <x:v>Guayaquil y Chile</x:v>
      </x:c>
      <x:c r="Z461" s="22" t="n">
        <x:v>45755</x:v>
      </x:c>
      <x:c r="AA461" t="str">
        <x:v>Recibido</x:v>
      </x:c>
      <x:c r="AB461" t="str">
        <x:v>30 días crédito</x:v>
      </x:c>
      <x:c r="AC461" s="32" t="str"/>
    </x:row>
    <x:row r="462">
      <x:c r="A462" t="n">
        <x:v>461</x:v>
      </x:c>
      <x:c r="B462" s="22" t="n">
        <x:v>46345</x:v>
      </x:c>
      <x:c r="C462" t="str">
        <x:v>OC-2026-0461</x:v>
      </x:c>
      <x:c r="D462" t="str">
        <x:v>F-D008-202611-9752</x:v>
      </x:c>
      <x:c r="E462" t="str">
        <x:v>L2611-013-0461</x:v>
      </x:c>
      <x:c r="F462" t="str">
        <x:v>D008</x:v>
      </x:c>
      <x:c r="G462" s="32" t="str">
        <x:v>Mayorista MedicPlus</x:v>
      </x:c>
      <x:c r="H462" t="str">
        <x:v>MED013</x:v>
      </x:c>
      <x:c r="I462" s="32" t="str">
        <x:v>Probióticos</x:v>
      </x:c>
      <x:c r="J462" s="32" t="str">
        <x:v>Gastrointestinales</x:v>
      </x:c>
      <x:c r="K462" s="32" t="str">
        <x:v>Laboratorios Bagó</x:v>
      </x:c>
      <x:c r="L462" s="32" t="str">
        <x:v>Caja x 10 sobres</x:v>
      </x:c>
      <x:c r="M462" s="28" t="n">
        <x:v>3</x:v>
      </x:c>
      <x:c r="N462" s="28" t="n">
        <x:v>50</x:v>
      </x:c>
      <x:c r="O462" s="28" t="n">
        <x:f>M462*N462</x:f>
        <x:v>150</x:v>
      </x:c>
      <x:c r="P462" s="24" t="n">
        <x:v>5.39</x:v>
      </x:c>
      <x:c r="Q462" s="26" t="n">
        <x:v>0.08654099329881897</x:v>
      </x:c>
      <x:c r="R462" s="24" t="n">
        <x:f>O462*P462*Q462</x:f>
        <x:v>69.96839308209513</x:v>
      </x:c>
      <x:c r="S462" s="24" t="n">
        <x:f>P462*(1-Q462)</x:f>
        <x:v>4.923544046119366</x:v>
      </x:c>
      <x:c r="T462" s="24" t="n">
        <x:f>O462*S462</x:f>
        <x:v>738.5316069179049</x:v>
      </x:c>
      <x:c r="U462" t="str">
        <x:v>CENTRO</x:v>
      </x:c>
      <x:c r="V462" t="str">
        <x:v>Farmacia Centro Histórico</x:v>
      </x:c>
      <x:c r="W462" t="str">
        <x:v>Zona Centro</x:v>
      </x:c>
      <x:c r="X462" t="str">
        <x:v>Quito</x:v>
      </x:c>
      <x:c r="Y462" s="32" t="str">
        <x:v>Guayaquil y Chile</x:v>
      </x:c>
      <x:c r="Z462" s="22" t="n">
        <x:v>46346</x:v>
      </x:c>
      <x:c r="AA462" t="str">
        <x:v>Recibido</x:v>
      </x:c>
      <x:c r="AB462" t="str">
        <x:v>30 días crédito</x:v>
      </x:c>
      <x:c r="AC462" s="32" t="str"/>
    </x:row>
    <x:row r="463">
      <x:c r="A463" t="n">
        <x:v>462</x:v>
      </x:c>
      <x:c r="B463" s="22" t="n">
        <x:v>45899</x:v>
      </x:c>
      <x:c r="C463" t="str">
        <x:v>OC-2025-0462</x:v>
      </x:c>
      <x:c r="D463" t="str">
        <x:v>F-D003-202508-1943</x:v>
      </x:c>
      <x:c r="E463" t="str">
        <x:v>L2508-001-0462</x:v>
      </x:c>
      <x:c r="F463" t="str">
        <x:v>D003</x:v>
      </x:c>
      <x:c r="G463" s="32" t="str">
        <x:v>FarmaLogística Sierra</x:v>
      </x:c>
      <x:c r="H463" t="str">
        <x:v>MED001</x:v>
      </x:c>
      <x:c r="I463" s="32" t="str">
        <x:v>Paracetamol 500 mg</x:v>
      </x:c>
      <x:c r="J463" s="32" t="str">
        <x:v>Analgésicos</x:v>
      </x:c>
      <x:c r="K463" s="32" t="str">
        <x:v>Genfar</x:v>
      </x:c>
      <x:c r="L463" s="32" t="str">
        <x:v>Caja x 20 tabletas</x:v>
      </x:c>
      <x:c r="M463" s="28" t="n">
        <x:v>15</x:v>
      </x:c>
      <x:c r="N463" s="28" t="n">
        <x:v>20</x:v>
      </x:c>
      <x:c r="O463" s="28" t="n">
        <x:f>M463*N463</x:f>
        <x:v>300</x:v>
      </x:c>
      <x:c r="P463" s="24" t="n">
        <x:v>0.89</x:v>
      </x:c>
      <x:c r="Q463" s="26" t="n">
        <x:v>0.05833755879591755</x:v>
      </x:c>
      <x:c r="R463" s="24" t="n">
        <x:f>O463*P463*Q463</x:f>
        <x:v>15.576128198509986</x:v>
      </x:c>
      <x:c r="S463" s="24" t="n">
        <x:f>P463*(1-Q463)</x:f>
        <x:v>0.8380795726716335</x:v>
      </x:c>
      <x:c r="T463" s="24" t="n">
        <x:f>O463*S463</x:f>
        <x:v>251.42387180149004</x:v>
      </x:c>
      <x:c r="U463" t="str">
        <x:v>VALLE</x:v>
      </x:c>
      <x:c r="V463" t="str">
        <x:v>Farmacia Valle de los Chillos</x:v>
      </x:c>
      <x:c r="W463" t="str">
        <x:v>Zona Valle</x:v>
      </x:c>
      <x:c r="X463" t="str">
        <x:v>Sangolquí</x:v>
      </x:c>
      <x:c r="Y463" s="32" t="str">
        <x:v>Av. Calderón 101</x:v>
      </x:c>
      <x:c r="Z463" s="22" t="n">
        <x:v>45902</x:v>
      </x:c>
      <x:c r="AA463" t="str">
        <x:v>Recibido</x:v>
      </x:c>
      <x:c r="AB463" t="str">
        <x:v>Contado contra entrega</x:v>
      </x:c>
      <x:c r="AC463" s="32" t="str"/>
    </x:row>
    <x:row r="464">
      <x:c r="A464" t="n">
        <x:v>463</x:v>
      </x:c>
      <x:c r="B464" s="22" t="n">
        <x:v>45741</x:v>
      </x:c>
      <x:c r="C464" t="str">
        <x:v>OC-2025-0463</x:v>
      </x:c>
      <x:c r="D464" t="str">
        <x:v>F-D006-202503-6661</x:v>
      </x:c>
      <x:c r="E464" t="str">
        <x:v>L2503-010-0463</x:v>
      </x:c>
      <x:c r="F464" t="str">
        <x:v>D006</x:v>
      </x:c>
      <x:c r="G464" s="32" t="str">
        <x:v>Insumos Médicos del Pacífico</x:v>
      </x:c>
      <x:c r="H464" t="str">
        <x:v>MED010</x:v>
      </x:c>
      <x:c r="I464" s="32" t="str">
        <x:v>Aspirina 100 mg</x:v>
      </x:c>
      <x:c r="J464" s="32" t="str">
        <x:v>Cardiovasculares</x:v>
      </x:c>
      <x:c r="K464" s="32" t="str">
        <x:v>Bayer</x:v>
      </x:c>
      <x:c r="L464" s="32" t="str">
        <x:v>Caja x 30 tabletas</x:v>
      </x:c>
      <x:c r="M464" s="28" t="n">
        <x:v>30</x:v>
      </x:c>
      <x:c r="N464" s="28" t="n">
        <x:v>20</x:v>
      </x:c>
      <x:c r="O464" s="28" t="n">
        <x:f>M464*N464</x:f>
        <x:v>600</x:v>
      </x:c>
      <x:c r="P464" s="24" t="n">
        <x:v>1.67</x:v>
      </x:c>
      <x:c r="Q464" s="26" t="n">
        <x:v>0.15439960347151688</x:v>
      </x:c>
      <x:c r="R464" s="24" t="n">
        <x:f>O464*P464*Q464</x:f>
        <x:v>154.70840267845992</x:v>
      </x:c>
      <x:c r="S464" s="24" t="n">
        <x:f>P464*(1-Q464)</x:f>
        <x:v>1.4121526622025666</x:v>
      </x:c>
      <x:c r="T464" s="24" t="n">
        <x:f>O464*S464</x:f>
        <x:v>847.2915973215399</x:v>
      </x:c>
      <x:c r="U464" t="str">
        <x:v>CENTRO</x:v>
      </x:c>
      <x:c r="V464" t="str">
        <x:v>Farmacia Centro Histórico</x:v>
      </x:c>
      <x:c r="W464" t="str">
        <x:v>Zona Centro</x:v>
      </x:c>
      <x:c r="X464" t="str">
        <x:v>Quito</x:v>
      </x:c>
      <x:c r="Y464" s="32" t="str">
        <x:v>Guayaquil y Chile</x:v>
      </x:c>
      <x:c r="Z464" s="22" t="n">
        <x:v>45742</x:v>
      </x:c>
      <x:c r="AA464" t="str">
        <x:v>Recibido</x:v>
      </x:c>
      <x:c r="AB464" t="str">
        <x:v>60 días crédito</x:v>
      </x:c>
      <x:c r="AC464" s="32" t="str">
        <x:v>Descuento por volumen</x:v>
      </x:c>
    </x:row>
    <x:row r="465">
      <x:c r="A465" t="n">
        <x:v>464</x:v>
      </x:c>
      <x:c r="B465" s="22" t="n">
        <x:v>45844</x:v>
      </x:c>
      <x:c r="C465" t="str">
        <x:v>OC-2025-0464</x:v>
      </x:c>
      <x:c r="D465" t="str">
        <x:v>F-D004-202507-3500</x:v>
      </x:c>
      <x:c r="E465" t="str">
        <x:v>L2507-003-0464</x:v>
      </x:c>
      <x:c r="F465" t="str">
        <x:v>D004</x:v>
      </x:c>
      <x:c r="G465" s="32" t="str">
        <x:v>Distribuidora Salud Total</x:v>
      </x:c>
      <x:c r="H465" t="str">
        <x:v>MED003</x:v>
      </x:c>
      <x:c r="I465" s="32" t="str">
        <x:v>Amoxicilina 500 mg</x:v>
      </x:c>
      <x:c r="J465" s="32" t="str">
        <x:v>Antibióticos</x:v>
      </x:c>
      <x:c r="K465" s="32" t="str">
        <x:v>Acromax</x:v>
      </x:c>
      <x:c r="L465" s="32" t="str">
        <x:v>Caja x 21 cápsulas</x:v>
      </x:c>
      <x:c r="M465" s="28" t="n">
        <x:v>7</x:v>
      </x:c>
      <x:c r="N465" s="28" t="n">
        <x:v>24</x:v>
      </x:c>
      <x:c r="O465" s="28" t="n">
        <x:f>M465*N465</x:f>
        <x:v>168</x:v>
      </x:c>
      <x:c r="P465" s="24" t="n">
        <x:v>4.13</x:v>
      </x:c>
      <x:c r="Q465" s="26" t="n">
        <x:v>0.10962860256301916</x:v>
      </x:c>
      <x:c r="R465" s="24" t="n">
        <x:f>O465*P465*Q465</x:f>
        <x:v>76.06470960232522</x:v>
      </x:c>
      <x:c r="S465" s="24" t="n">
        <x:f>P465*(1-Q465)</x:f>
        <x:v>3.677233871414731</x:v>
      </x:c>
      <x:c r="T465" s="24" t="n">
        <x:f>O465*S465</x:f>
        <x:v>617.7752903976748</x:v>
      </x:c>
      <x:c r="U465" t="str">
        <x:v>CENTRO</x:v>
      </x:c>
      <x:c r="V465" t="str">
        <x:v>Farmacia Centro Histórico</x:v>
      </x:c>
      <x:c r="W465" t="str">
        <x:v>Zona Centro</x:v>
      </x:c>
      <x:c r="X465" t="str">
        <x:v>Quito</x:v>
      </x:c>
      <x:c r="Y465" s="32" t="str">
        <x:v>Guayaquil y Chile</x:v>
      </x:c>
      <x:c r="Z465" s="22" t="n">
        <x:v>45846</x:v>
      </x:c>
      <x:c r="AA465" t="str">
        <x:v>Recibido</x:v>
      </x:c>
      <x:c r="AB465" t="str">
        <x:v>45 días crédito</x:v>
      </x:c>
      <x:c r="AC465" s="32" t="str"/>
    </x:row>
    <x:row r="466">
      <x:c r="A466" t="n">
        <x:v>465</x:v>
      </x:c>
      <x:c r="B466" s="22" t="n">
        <x:v>46271</x:v>
      </x:c>
      <x:c r="C466" t="str">
        <x:v>OC-2026-0465</x:v>
      </x:c>
      <x:c r="D466" t="str">
        <x:v>F-D004-202609-6908</x:v>
      </x:c>
      <x:c r="E466" t="str">
        <x:v>L2609-014-0465</x:v>
      </x:c>
      <x:c r="F466" t="str">
        <x:v>D004</x:v>
      </x:c>
      <x:c r="G466" s="32" t="str">
        <x:v>Distribuidora Salud Total</x:v>
      </x:c>
      <x:c r="H466" t="str">
        <x:v>MED014</x:v>
      </x:c>
      <x:c r="I466" s="32" t="str">
        <x:v>Crema antimicótica</x:v>
      </x:c>
      <x:c r="J466" s="32" t="str">
        <x:v>Dermatológicos</x:v>
      </x:c>
      <x:c r="K466" s="32" t="str">
        <x:v>Acromax</x:v>
      </x:c>
      <x:c r="L466" s="32" t="str">
        <x:v>Tubo 30 g</x:v>
      </x:c>
      <x:c r="M466" s="28" t="n">
        <x:v>4</x:v>
      </x:c>
      <x:c r="N466" s="28" t="n">
        <x:v>50</x:v>
      </x:c>
      <x:c r="O466" s="28" t="n">
        <x:f>M466*N466</x:f>
        <x:v>200</x:v>
      </x:c>
      <x:c r="P466" s="24" t="n">
        <x:v>2.68</x:v>
      </x:c>
      <x:c r="Q466" s="26" t="n">
        <x:v>0.1015800407433185</x:v>
      </x:c>
      <x:c r="R466" s="24" t="n">
        <x:f>O466*P466*Q466</x:f>
        <x:v>54.44690183841872</x:v>
      </x:c>
      <x:c r="S466" s="24" t="n">
        <x:f>P466*(1-Q466)</x:f>
        <x:v>2.4077654908079067</x:v>
      </x:c>
      <x:c r="T466" s="24" t="n">
        <x:f>O466*S466</x:f>
        <x:v>481.5530981615813</x:v>
      </x:c>
      <x:c r="U466" t="str">
        <x:v>CENTRO</x:v>
      </x:c>
      <x:c r="V466" t="str">
        <x:v>Farmacia Centro Histórico</x:v>
      </x:c>
      <x:c r="W466" t="str">
        <x:v>Zona Centro</x:v>
      </x:c>
      <x:c r="X466" t="str">
        <x:v>Quito</x:v>
      </x:c>
      <x:c r="Y466" s="32" t="str">
        <x:v>Guayaquil y Chile</x:v>
      </x:c>
      <x:c r="Z466" s="22" t="n">
        <x:v>46275</x:v>
      </x:c>
      <x:c r="AA466" t="str">
        <x:v>Recibido</x:v>
      </x:c>
      <x:c r="AB466" t="str">
        <x:v>45 días crédito</x:v>
      </x:c>
      <x:c r="AC466" s="32" t="str"/>
    </x:row>
    <x:row r="467">
      <x:c r="A467" t="n">
        <x:v>466</x:v>
      </x:c>
      <x:c r="B467" s="22" t="n">
        <x:v>46145</x:v>
      </x:c>
      <x:c r="C467" t="str">
        <x:v>OC-2026-0466</x:v>
      </x:c>
      <x:c r="D467" t="str">
        <x:v>F-D001-202605-4838</x:v>
      </x:c>
      <x:c r="E467" t="str">
        <x:v>L2605-001-0466</x:v>
      </x:c>
      <x:c r="F467" t="str">
        <x:v>D001</x:v>
      </x:c>
      <x:c r="G467" s="32" t="str">
        <x:v>DistriFarma Andina S.A.</x:v>
      </x:c>
      <x:c r="H467" t="str">
        <x:v>MED001</x:v>
      </x:c>
      <x:c r="I467" s="32" t="str">
        <x:v>Paracetamol 500 mg</x:v>
      </x:c>
      <x:c r="J467" s="32" t="str">
        <x:v>Analgésicos</x:v>
      </x:c>
      <x:c r="K467" s="32" t="str">
        <x:v>Genfar</x:v>
      </x:c>
      <x:c r="L467" s="32" t="str">
        <x:v>Caja x 20 tabletas</x:v>
      </x:c>
      <x:c r="M467" s="28" t="n">
        <x:v>2</x:v>
      </x:c>
      <x:c r="N467" s="28" t="n">
        <x:v>60</x:v>
      </x:c>
      <x:c r="O467" s="28" t="n">
        <x:f>M467*N467</x:f>
        <x:v>120</x:v>
      </x:c>
      <x:c r="P467" s="24" t="n">
        <x:v>0.81</x:v>
      </x:c>
      <x:c r="Q467" s="26" t="n">
        <x:v>0.08238277255811523</x:v>
      </x:c>
      <x:c r="R467" s="24" t="n">
        <x:f>O467*P467*Q467</x:f>
        <x:v>8.0076054926488</x:v>
      </x:c>
      <x:c r="S467" s="24" t="n">
        <x:f>P467*(1-Q467)</x:f>
        <x:v>0.7432699542279267</x:v>
      </x:c>
      <x:c r="T467" s="24" t="n">
        <x:f>O467*S467</x:f>
        <x:v>89.19239450735121</x:v>
      </x:c>
      <x:c r="U467" t="str">
        <x:v>SUR</x:v>
      </x:c>
      <x:c r="V467" t="str">
        <x:v>Farmacia del Sur</x:v>
      </x:c>
      <x:c r="W467" t="str">
        <x:v>Zona Sur</x:v>
      </x:c>
      <x:c r="X467" t="str">
        <x:v>Quito</x:v>
      </x:c>
      <x:c r="Y467" s="32" t="str">
        <x:v>Av. Maldonado S25-10</x:v>
      </x:c>
      <x:c r="Z467" s="22" t="n">
        <x:v>46150</x:v>
      </x:c>
      <x:c r="AA467" t="str">
        <x:v>Recibido</x:v>
      </x:c>
      <x:c r="AB467" t="str">
        <x:v>30 días crédito</x:v>
      </x:c>
      <x:c r="AC467" s="32" t="str"/>
    </x:row>
    <x:row r="468">
      <x:c r="A468" t="n">
        <x:v>467</x:v>
      </x:c>
      <x:c r="B468" s="22" t="n">
        <x:v>46207</x:v>
      </x:c>
      <x:c r="C468" t="str">
        <x:v>OC-2026-0467</x:v>
      </x:c>
      <x:c r="D468" t="str">
        <x:v>F-D001-202607-2787</x:v>
      </x:c>
      <x:c r="E468" t="str">
        <x:v>L2607-007-0467</x:v>
      </x:c>
      <x:c r="F468" t="str">
        <x:v>D001</x:v>
      </x:c>
      <x:c r="G468" s="32" t="str">
        <x:v>DistriFarma Andina S.A.</x:v>
      </x:c>
      <x:c r="H468" t="str">
        <x:v>MED007</x:v>
      </x:c>
      <x:c r="I468" s="32" t="str">
        <x:v>Omeprazol 20 mg</x:v>
      </x:c>
      <x:c r="J468" s="32" t="str">
        <x:v>Gastrointestinales</x:v>
      </x:c>
      <x:c r="K468" s="32" t="str">
        <x:v>La Santé</x:v>
      </x:c>
      <x:c r="L468" s="32" t="str">
        <x:v>Caja x 30 cápsulas</x:v>
      </x:c>
      <x:c r="M468" s="28" t="n">
        <x:v>15</x:v>
      </x:c>
      <x:c r="N468" s="28" t="n">
        <x:v>50</x:v>
      </x:c>
      <x:c r="O468" s="28" t="n">
        <x:f>M468*N468</x:f>
        <x:v>750</x:v>
      </x:c>
      <x:c r="P468" s="24" t="n">
        <x:v>3.31</x:v>
      </x:c>
      <x:c r="Q468" s="26" t="n">
        <x:v>0.11210018694378508</x:v>
      </x:c>
      <x:c r="R468" s="24" t="n">
        <x:f>O468*P468*Q468</x:f>
        <x:v>278.28871408794646</x:v>
      </x:c>
      <x:c r="S468" s="24" t="n">
        <x:f>P468*(1-Q468)</x:f>
        <x:v>2.9389483812160715</x:v>
      </x:c>
      <x:c r="T468" s="24" t="n">
        <x:f>O468*S468</x:f>
        <x:v>2204.2112859120534</x:v>
      </x:c>
      <x:c r="U468" t="str">
        <x:v>SUR</x:v>
      </x:c>
      <x:c r="V468" t="str">
        <x:v>Farmacia del Sur</x:v>
      </x:c>
      <x:c r="W468" t="str">
        <x:v>Zona Sur</x:v>
      </x:c>
      <x:c r="X468" t="str">
        <x:v>Quito</x:v>
      </x:c>
      <x:c r="Y468" s="32" t="str">
        <x:v>Av. Maldonado S25-10</x:v>
      </x:c>
      <x:c r="Z468" s="22" t="n">
        <x:v>46208</x:v>
      </x:c>
      <x:c r="AA468" t="str">
        <x:v>Recibido</x:v>
      </x:c>
      <x:c r="AB468" t="str">
        <x:v>30 días crédito</x:v>
      </x:c>
      <x:c r="AC468" s="32" t="str">
        <x:v>Entrega coordinada fuera de horario regular</x:v>
      </x:c>
    </x:row>
    <x:row r="469">
      <x:c r="A469" t="n">
        <x:v>468</x:v>
      </x:c>
      <x:c r="B469" s="22" t="n">
        <x:v>45911</x:v>
      </x:c>
      <x:c r="C469" t="str">
        <x:v>OC-2025-0468</x:v>
      </x:c>
      <x:c r="D469" t="str">
        <x:v>F-D004-202509-2274</x:v>
      </x:c>
      <x:c r="E469" t="str">
        <x:v>L2509-011-0468</x:v>
      </x:c>
      <x:c r="F469" t="str">
        <x:v>D004</x:v>
      </x:c>
      <x:c r="G469" s="32" t="str">
        <x:v>Distribuidora Salud Total</x:v>
      </x:c>
      <x:c r="H469" t="str">
        <x:v>MED011</x:v>
      </x:c>
      <x:c r="I469" s="32" t="str">
        <x:v>Jarabe antigripal</x:v>
      </x:c>
      <x:c r="J469" s="32" t="str">
        <x:v>Antigripales</x:v>
      </x:c>
      <x:c r="K469" s="32" t="str">
        <x:v>MEDICAMENTA</x:v>
      </x:c>
      <x:c r="L469" s="32" t="str">
        <x:v>Frasco 120 ml</x:v>
      </x:c>
      <x:c r="M469" s="28" t="n">
        <x:v>8</x:v>
      </x:c>
      <x:c r="N469" s="28" t="n">
        <x:v>50</x:v>
      </x:c>
      <x:c r="O469" s="28" t="n">
        <x:f>M469*N469</x:f>
        <x:v>400</x:v>
      </x:c>
      <x:c r="P469" s="24" t="n">
        <x:v>2.45</x:v>
      </x:c>
      <x:c r="Q469" s="26" t="n">
        <x:v>0.12237991625305618</x:v>
      </x:c>
      <x:c r="R469" s="24" t="n">
        <x:f>O469*P469*Q469</x:f>
        <x:v>119.93231792799507</x:v>
      </x:c>
      <x:c r="S469" s="24" t="n">
        <x:f>P469*(1-Q469)</x:f>
        <x:v>2.1501692051800125</x:v>
      </x:c>
      <x:c r="T469" s="24" t="n">
        <x:f>O469*S469</x:f>
        <x:v>860.067682072005</x:v>
      </x:c>
      <x:c r="U469" t="str">
        <x:v>CENTRO</x:v>
      </x:c>
      <x:c r="V469" t="str">
        <x:v>Farmacia Centro Histórico</x:v>
      </x:c>
      <x:c r="W469" t="str">
        <x:v>Zona Centro</x:v>
      </x:c>
      <x:c r="X469" t="str">
        <x:v>Quito</x:v>
      </x:c>
      <x:c r="Y469" s="32" t="str">
        <x:v>Guayaquil y Chile</x:v>
      </x:c>
      <x:c r="Z469" s="22" t="n">
        <x:v>45912</x:v>
      </x:c>
      <x:c r="AA469" t="str">
        <x:v>Recibido</x:v>
      </x:c>
      <x:c r="AB469" t="str">
        <x:v>45 días crédito</x:v>
      </x:c>
      <x:c r="AC469" s="32" t="str"/>
    </x:row>
    <x:row r="470">
      <x:c r="A470" t="n">
        <x:v>469</x:v>
      </x:c>
      <x:c r="B470" s="22" t="n">
        <x:v>46024</x:v>
      </x:c>
      <x:c r="C470" t="str">
        <x:v>OC-2026-0469</x:v>
      </x:c>
      <x:c r="D470" t="str">
        <x:v>F-D001-202601-2137</x:v>
      </x:c>
      <x:c r="E470" t="str">
        <x:v>L2601-015-0469</x:v>
      </x:c>
      <x:c r="F470" t="str">
        <x:v>D001</x:v>
      </x:c>
      <x:c r="G470" s="32" t="str">
        <x:v>DistriFarma Andina S.A.</x:v>
      </x:c>
      <x:c r="H470" t="str">
        <x:v>MED015</x:v>
      </x:c>
      <x:c r="I470" s="32" t="str">
        <x:v>Producto descontinuado</x:v>
      </x:c>
      <x:c r="J470" s="32" t="str">
        <x:v>Vitaminas</x:v>
      </x:c>
      <x:c r="K470" s="32" t="str">
        <x:v>MEDICAMENTA</x:v>
      </x:c>
      <x:c r="L470" s="32" t="str">
        <x:v>Caja x 20</x:v>
      </x:c>
      <x:c r="M470" s="28" t="n">
        <x:v>1</x:v>
      </x:c>
      <x:c r="N470" s="28" t="n">
        <x:v>24</x:v>
      </x:c>
      <x:c r="O470" s="28" t="n">
        <x:f>M470*N470</x:f>
        <x:v>24</x:v>
      </x:c>
      <x:c r="P470" s="24" t="n">
        <x:v>7.14</x:v>
      </x:c>
      <x:c r="Q470" s="26" t="n">
        <x:v>0.10260094869875155</x:v>
      </x:c>
      <x:c r="R470" s="24" t="n">
        <x:f>O470*P470*Q470</x:f>
        <x:v>17.581698569018066</x:v>
      </x:c>
      <x:c r="S470" s="24" t="n">
        <x:f>P470*(1-Q470)</x:f>
        <x:v>6.407429226290914</x:v>
      </x:c>
      <x:c r="T470" s="24" t="n">
        <x:f>O470*S470</x:f>
        <x:v>153.7783014309819</x:v>
      </x:c>
      <x:c r="U470" t="str">
        <x:v>SUR</x:v>
      </x:c>
      <x:c r="V470" t="str">
        <x:v>Farmacia del Sur</x:v>
      </x:c>
      <x:c r="W470" t="str">
        <x:v>Zona Sur</x:v>
      </x:c>
      <x:c r="X470" t="str">
        <x:v>Quito</x:v>
      </x:c>
      <x:c r="Y470" s="32" t="str">
        <x:v>Av. Maldonado S25-10</x:v>
      </x:c>
      <x:c r="Z470" s="22" t="n">
        <x:v>46029</x:v>
      </x:c>
      <x:c r="AA470" t="str">
        <x:v>Recibido</x:v>
      </x:c>
      <x:c r="AB470" t="str">
        <x:v>30 días crédito</x:v>
      </x:c>
      <x:c r="AC470" s="32" t="str">
        <x:v>Compra controlada: producto descontinuado</x:v>
      </x:c>
    </x:row>
    <x:row r="471">
      <x:c r="A471" t="n">
        <x:v>470</x:v>
      </x:c>
      <x:c r="B471" s="22" t="n">
        <x:v>45907</x:v>
      </x:c>
      <x:c r="C471" t="str">
        <x:v>OC-2025-0470</x:v>
      </x:c>
      <x:c r="D471" t="str">
        <x:v>F-D003-202509-5025</x:v>
      </x:c>
      <x:c r="E471" t="str">
        <x:v>L2509-005-0470</x:v>
      </x:c>
      <x:c r="F471" t="str">
        <x:v>D003</x:v>
      </x:c>
      <x:c r="G471" s="32" t="str">
        <x:v>FarmaLogística Sierra</x:v>
      </x:c>
      <x:c r="H471" t="str">
        <x:v>MED005</x:v>
      </x:c>
      <x:c r="I471" s="32" t="str">
        <x:v>Loratadina 10 mg</x:v>
      </x:c>
      <x:c r="J471" s="32" t="str">
        <x:v>Antigripales</x:v>
      </x:c>
      <x:c r="K471" s="32" t="str">
        <x:v>Genfar</x:v>
      </x:c>
      <x:c r="L471" s="32" t="str">
        <x:v>Caja x 10 tabletas</x:v>
      </x:c>
      <x:c r="M471" s="28" t="n">
        <x:v>18</x:v>
      </x:c>
      <x:c r="N471" s="28" t="n">
        <x:v>20</x:v>
      </x:c>
      <x:c r="O471" s="28" t="n">
        <x:f>M471*N471</x:f>
        <x:v>360</x:v>
      </x:c>
      <x:c r="P471" s="24" t="n">
        <x:v>0.95</x:v>
      </x:c>
      <x:c r="Q471" s="26" t="n">
        <x:v>0.0373325243490804</x:v>
      </x:c>
      <x:c r="R471" s="24" t="n">
        <x:f>O471*P471*Q471</x:f>
        <x:v>12.767723327385498</x:v>
      </x:c>
      <x:c r="S471" s="24" t="n">
        <x:f>P471*(1-Q471)</x:f>
        <x:v>0.9145341018683736</x:v>
      </x:c>
      <x:c r="T471" s="24" t="n">
        <x:f>O471*S471</x:f>
        <x:v>329.2322766726145</x:v>
      </x:c>
      <x:c r="U471" t="str">
        <x:v>CENTRO</x:v>
      </x:c>
      <x:c r="V471" t="str">
        <x:v>Farmacia Centro Histórico</x:v>
      </x:c>
      <x:c r="W471" t="str">
        <x:v>Zona Centro</x:v>
      </x:c>
      <x:c r="X471" t="str">
        <x:v>Quito</x:v>
      </x:c>
      <x:c r="Y471" s="32" t="str">
        <x:v>Guayaquil y Chile</x:v>
      </x:c>
      <x:c r="Z471" s="22" t="n">
        <x:v>45910</x:v>
      </x:c>
      <x:c r="AA471" t="str">
        <x:v>Recibido</x:v>
      </x:c>
      <x:c r="AB471" t="str">
        <x:v>Contado contra entrega</x:v>
      </x:c>
      <x:c r="AC471" s="32" t="str"/>
    </x:row>
    <x:row r="472">
      <x:c r="A472" t="n">
        <x:v>471</x:v>
      </x:c>
      <x:c r="B472" s="22" t="n">
        <x:v>45682</x:v>
      </x:c>
      <x:c r="C472" t="str">
        <x:v>OC-2025-0471</x:v>
      </x:c>
      <x:c r="D472" t="str">
        <x:v>F-D007-202501-7829</x:v>
      </x:c>
      <x:c r="E472" t="str">
        <x:v>L2501-006-0471</x:v>
      </x:c>
      <x:c r="F472" t="str">
        <x:v>D007</x:v>
      </x:c>
      <x:c r="G472" s="32" t="str">
        <x:v>Comercializadora BioFarma</x:v>
      </x:c>
      <x:c r="H472" t="str">
        <x:v>MED006</x:v>
      </x:c>
      <x:c r="I472" s="32" t="str">
        <x:v>Vitamina C 1 g</x:v>
      </x:c>
      <x:c r="J472" s="32" t="str">
        <x:v>Vitaminas</x:v>
      </x:c>
      <x:c r="K472" s="32" t="str">
        <x:v>Novartis</x:v>
      </x:c>
      <x:c r="L472" s="32" t="str">
        <x:v>Tubo x 10 efervescentes</x:v>
      </x:c>
      <x:c r="M472" s="28" t="n">
        <x:v>15</x:v>
      </x:c>
      <x:c r="N472" s="28" t="n">
        <x:v>10</x:v>
      </x:c>
      <x:c r="O472" s="28" t="n">
        <x:f>M472*N472</x:f>
        <x:v>150</x:v>
      </x:c>
      <x:c r="P472" s="24" t="n">
        <x:v>2.13</x:v>
      </x:c>
      <x:c r="Q472" s="26" t="n">
        <x:v>0.07161871997173741</x:v>
      </x:c>
      <x:c r="R472" s="24" t="n">
        <x:f>O472*P472*Q472</x:f>
        <x:v>22.882181030970102</x:v>
      </x:c>
      <x:c r="S472" s="24" t="n">
        <x:f>P472*(1-Q472)</x:f>
        <x:v>1.9774521264601992</x:v>
      </x:c>
      <x:c r="T472" s="24" t="n">
        <x:f>O472*S472</x:f>
        <x:v>296.6178189690299</x:v>
      </x:c>
      <x:c r="U472" t="str">
        <x:v>NORTE</x:v>
      </x:c>
      <x:c r="V472" t="str">
        <x:v>Farmacia Norte</x:v>
      </x:c>
      <x:c r="W472" t="str">
        <x:v>Zona Norte</x:v>
      </x:c>
      <x:c r="X472" t="str">
        <x:v>Quito</x:v>
      </x:c>
      <x:c r="Y472" s="32" t="str">
        <x:v>Av. 10 de Agosto N45-20</x:v>
      </x:c>
      <x:c r="Z472" s="22" t="n">
        <x:v>45684</x:v>
      </x:c>
      <x:c r="AA472" t="str">
        <x:v>Recibido</x:v>
      </x:c>
      <x:c r="AB472" t="str">
        <x:v>15 días crédito</x:v>
      </x:c>
      <x:c r="AC472" s="32" t="str"/>
    </x:row>
    <x:row r="473">
      <x:c r="A473" t="n">
        <x:v>472</x:v>
      </x:c>
      <x:c r="B473" s="22" t="n">
        <x:v>46352</x:v>
      </x:c>
      <x:c r="C473" t="str">
        <x:v>OC-2026-0472</x:v>
      </x:c>
      <x:c r="D473" t="str">
        <x:v>F-D005-202611-9384</x:v>
      </x:c>
      <x:c r="E473" t="str">
        <x:v>L2611-008-0472</x:v>
      </x:c>
      <x:c r="F473" t="str">
        <x:v>D005</x:v>
      </x:c>
      <x:c r="G473" s="32" t="str">
        <x:v>PharmaExpress Quito</x:v>
      </x:c>
      <x:c r="H473" t="str">
        <x:v>MED008</x:v>
      </x:c>
      <x:c r="I473" s="32" t="str">
        <x:v>Diclofenaco gel</x:v>
      </x:c>
      <x:c r="J473" s="32" t="str">
        <x:v>Dermatológicos</x:v>
      </x:c>
      <x:c r="K473" s="32" t="str">
        <x:v>Bayer</x:v>
      </x:c>
      <x:c r="L473" s="32" t="str">
        <x:v>Tubo 50 g</x:v>
      </x:c>
      <x:c r="M473" s="28" t="n">
        <x:v>6</x:v>
      </x:c>
      <x:c r="N473" s="28" t="n">
        <x:v>20</x:v>
      </x:c>
      <x:c r="O473" s="28" t="n">
        <x:f>M473*N473</x:f>
        <x:v>120</x:v>
      </x:c>
      <x:c r="P473" s="24" t="n">
        <x:v>2.06</x:v>
      </x:c>
      <x:c r="Q473" s="26" t="n">
        <x:v>0.07758077557164396</x:v>
      </x:c>
      <x:c r="R473" s="24" t="n">
        <x:f>O473*P473*Q473</x:f>
        <x:v>19.177967721310388</x:v>
      </x:c>
      <x:c r="S473" s="24" t="n">
        <x:f>P473*(1-Q473)</x:f>
        <x:v>1.9001836023224135</x:v>
      </x:c>
      <x:c r="T473" s="24" t="n">
        <x:f>O473*S473</x:f>
        <x:v>228.0220322786896</x:v>
      </x:c>
      <x:c r="U473" t="str">
        <x:v>CENTRO</x:v>
      </x:c>
      <x:c r="V473" t="str">
        <x:v>Farmacia Centro Histórico</x:v>
      </x:c>
      <x:c r="W473" t="str">
        <x:v>Zona Centro</x:v>
      </x:c>
      <x:c r="X473" t="str">
        <x:v>Quito</x:v>
      </x:c>
      <x:c r="Y473" s="32" t="str">
        <x:v>Guayaquil y Chile</x:v>
      </x:c>
      <x:c r="Z473" s="22" t="n">
        <x:v>46353</x:v>
      </x:c>
      <x:c r="AA473" t="str">
        <x:v>Recibido</x:v>
      </x:c>
      <x:c r="AB473" t="str">
        <x:v>30 días crédito</x:v>
      </x:c>
      <x:c r="AC473" s="32" t="str"/>
    </x:row>
    <x:row r="474">
      <x:c r="A474" t="n">
        <x:v>473</x:v>
      </x:c>
      <x:c r="B474" s="22" t="n">
        <x:v>46250</x:v>
      </x:c>
      <x:c r="C474" t="str">
        <x:v>OC-2026-0473</x:v>
      </x:c>
      <x:c r="D474" t="str">
        <x:v>F-D004-202608-3853</x:v>
      </x:c>
      <x:c r="E474" t="str">
        <x:v>L2608-014-0473</x:v>
      </x:c>
      <x:c r="F474" t="str">
        <x:v>D004</x:v>
      </x:c>
      <x:c r="G474" s="32" t="str">
        <x:v>Distribuidora Salud Total</x:v>
      </x:c>
      <x:c r="H474" t="str">
        <x:v>MED014</x:v>
      </x:c>
      <x:c r="I474" s="32" t="str">
        <x:v>Crema antimicótica</x:v>
      </x:c>
      <x:c r="J474" s="32" t="str">
        <x:v>Dermatológicos</x:v>
      </x:c>
      <x:c r="K474" s="32" t="str">
        <x:v>Acromax</x:v>
      </x:c>
      <x:c r="L474" s="32" t="str">
        <x:v>Tubo 30 g</x:v>
      </x:c>
      <x:c r="M474" s="28" t="n">
        <x:v>2</x:v>
      </x:c>
      <x:c r="N474" s="28" t="n">
        <x:v>50</x:v>
      </x:c>
      <x:c r="O474" s="28" t="n">
        <x:f>M474*N474</x:f>
        <x:v>100</x:v>
      </x:c>
      <x:c r="P474" s="24" t="n">
        <x:v>2.22</x:v>
      </x:c>
      <x:c r="Q474" s="26" t="n">
        <x:v>0.11336922712908028</x:v>
      </x:c>
      <x:c r="R474" s="24" t="n">
        <x:f>O474*P474*Q474</x:f>
        <x:v>25.167968422655825</x:v>
      </x:c>
      <x:c r="S474" s="24" t="n">
        <x:f>P474*(1-Q474)</x:f>
        <x:v>1.968320315773442</x:v>
      </x:c>
      <x:c r="T474" s="24" t="n">
        <x:f>O474*S474</x:f>
        <x:v>196.8320315773442</x:v>
      </x:c>
      <x:c r="U474" t="str">
        <x:v>VALLE</x:v>
      </x:c>
      <x:c r="V474" t="str">
        <x:v>Farmacia Valle de los Chillos</x:v>
      </x:c>
      <x:c r="W474" t="str">
        <x:v>Zona Valle</x:v>
      </x:c>
      <x:c r="X474" t="str">
        <x:v>Sangolquí</x:v>
      </x:c>
      <x:c r="Y474" s="32" t="str">
        <x:v>Av. Calderón 101</x:v>
      </x:c>
      <x:c r="Z474" s="22" t="n">
        <x:v>46255</x:v>
      </x:c>
      <x:c r="AA474" t="str">
        <x:v>Recibido</x:v>
      </x:c>
      <x:c r="AB474" t="str">
        <x:v>45 días crédito</x:v>
      </x:c>
      <x:c r="AC474" s="32" t="str"/>
    </x:row>
    <x:row r="475">
      <x:c r="A475" t="n">
        <x:v>474</x:v>
      </x:c>
      <x:c r="B475" s="22" t="n">
        <x:v>46271</x:v>
      </x:c>
      <x:c r="C475" t="str">
        <x:v>OC-2026-0474</x:v>
      </x:c>
      <x:c r="D475" t="str">
        <x:v>F-D006-202609-1512</x:v>
      </x:c>
      <x:c r="E475" t="str">
        <x:v>L2609-010-0474</x:v>
      </x:c>
      <x:c r="F475" t="str">
        <x:v>D006</x:v>
      </x:c>
      <x:c r="G475" s="32" t="str">
        <x:v>Insumos Médicos del Pacífico</x:v>
      </x:c>
      <x:c r="H475" t="str">
        <x:v>MED010</x:v>
      </x:c>
      <x:c r="I475" s="32" t="str">
        <x:v>Aspirina 100 mg</x:v>
      </x:c>
      <x:c r="J475" s="32" t="str">
        <x:v>Cardiovasculares</x:v>
      </x:c>
      <x:c r="K475" s="32" t="str">
        <x:v>Bayer</x:v>
      </x:c>
      <x:c r="L475" s="32" t="str">
        <x:v>Caja x 30 tabletas</x:v>
      </x:c>
      <x:c r="M475" s="28" t="n">
        <x:v>15</x:v>
      </x:c>
      <x:c r="N475" s="28" t="n">
        <x:v>24</x:v>
      </x:c>
      <x:c r="O475" s="28" t="n">
        <x:f>M475*N475</x:f>
        <x:v>360</x:v>
      </x:c>
      <x:c r="P475" s="24" t="n">
        <x:v>1.87</x:v>
      </x:c>
      <x:c r="Q475" s="26" t="n">
        <x:v>0.13379314214704272</x:v>
      </x:c>
      <x:c r="R475" s="24" t="n">
        <x:f>O475*P475*Q475</x:f>
        <x:v>90.06954329338916</x:v>
      </x:c>
      <x:c r="S475" s="24" t="n">
        <x:f>P475*(1-Q475)</x:f>
        <x:v>1.61980682418503</x:v>
      </x:c>
      <x:c r="T475" s="24" t="n">
        <x:f>O475*S475</x:f>
        <x:v>583.1304567066109</x:v>
      </x:c>
      <x:c r="U475" t="str">
        <x:v>NORTE</x:v>
      </x:c>
      <x:c r="V475" t="str">
        <x:v>Farmacia Norte</x:v>
      </x:c>
      <x:c r="W475" t="str">
        <x:v>Zona Norte</x:v>
      </x:c>
      <x:c r="X475" t="str">
        <x:v>Quito</x:v>
      </x:c>
      <x:c r="Y475" s="32" t="str">
        <x:v>Av. 10 de Agosto N45-20</x:v>
      </x:c>
      <x:c r="Z475" s="22" t="n">
        <x:v>46273</x:v>
      </x:c>
      <x:c r="AA475" t="str">
        <x:v>Recibido</x:v>
      </x:c>
      <x:c r="AB475" t="str">
        <x:v>60 días crédito</x:v>
      </x:c>
      <x:c r="AC475" s="32" t="str">
        <x:v>Descuento por volumen</x:v>
      </x:c>
    </x:row>
    <x:row r="476">
      <x:c r="A476" t="n">
        <x:v>475</x:v>
      </x:c>
      <x:c r="B476" s="22" t="n">
        <x:v>46314</x:v>
      </x:c>
      <x:c r="C476" t="str">
        <x:v>OC-2026-0475</x:v>
      </x:c>
      <x:c r="D476" t="str">
        <x:v>F-D006-202610-1197</x:v>
      </x:c>
      <x:c r="E476" t="str">
        <x:v>L2610-008-0475</x:v>
      </x:c>
      <x:c r="F476" t="str">
        <x:v>D006</x:v>
      </x:c>
      <x:c r="G476" s="32" t="str">
        <x:v>Insumos Médicos del Pacífico</x:v>
      </x:c>
      <x:c r="H476" t="str">
        <x:v>MED008</x:v>
      </x:c>
      <x:c r="I476" s="32" t="str">
        <x:v>Diclofenaco gel</x:v>
      </x:c>
      <x:c r="J476" s="32" t="str">
        <x:v>Dermatológicos</x:v>
      </x:c>
      <x:c r="K476" s="32" t="str">
        <x:v>Bayer</x:v>
      </x:c>
      <x:c r="L476" s="32" t="str">
        <x:v>Tubo 50 g</x:v>
      </x:c>
      <x:c r="M476" s="28" t="n">
        <x:v>24</x:v>
      </x:c>
      <x:c r="N476" s="28" t="n">
        <x:v>10</x:v>
      </x:c>
      <x:c r="O476" s="28" t="n">
        <x:f>M476*N476</x:f>
        <x:v>240</x:v>
      </x:c>
      <x:c r="P476" s="24" t="n">
        <x:v>2.26</x:v>
      </x:c>
      <x:c r="Q476" s="26" t="n">
        <x:v>0.10752927547057703</x:v>
      </x:c>
      <x:c r="R476" s="24" t="n">
        <x:f>O476*P476*Q476</x:f>
        <x:v>58.323879015240976</x:v>
      </x:c>
      <x:c r="S476" s="24" t="n">
        <x:f>P476*(1-Q476)</x:f>
        <x:v>2.016983837436496</x:v>
      </x:c>
      <x:c r="T476" s="24" t="n">
        <x:f>O476*S476</x:f>
        <x:v>484.07612098475903</x:v>
      </x:c>
      <x:c r="U476" t="str">
        <x:v>NORTE</x:v>
      </x:c>
      <x:c r="V476" t="str">
        <x:v>Farmacia Norte</x:v>
      </x:c>
      <x:c r="W476" t="str">
        <x:v>Zona Norte</x:v>
      </x:c>
      <x:c r="X476" t="str">
        <x:v>Quito</x:v>
      </x:c>
      <x:c r="Y476" s="32" t="str">
        <x:v>Av. 10 de Agosto N45-20</x:v>
      </x:c>
      <x:c r="Z476" s="22" t="n">
        <x:v>46316</x:v>
      </x:c>
      <x:c r="AA476" t="str">
        <x:v>Recibido</x:v>
      </x:c>
      <x:c r="AB476" t="str">
        <x:v>60 días crédito</x:v>
      </x:c>
      <x:c r="AC476" s="32" t="str"/>
    </x:row>
    <x:row r="477">
      <x:c r="A477" t="n">
        <x:v>476</x:v>
      </x:c>
      <x:c r="B477" s="22" t="n">
        <x:v>46176</x:v>
      </x:c>
      <x:c r="C477" t="str">
        <x:v>OC-2026-0476</x:v>
      </x:c>
      <x:c r="D477" t="str">
        <x:v>F-D003-202606-9039</x:v>
      </x:c>
      <x:c r="E477" t="str">
        <x:v>L2606-014-0476</x:v>
      </x:c>
      <x:c r="F477" t="str">
        <x:v>D003</x:v>
      </x:c>
      <x:c r="G477" s="32" t="str">
        <x:v>FarmaLogística Sierra</x:v>
      </x:c>
      <x:c r="H477" t="str">
        <x:v>MED014</x:v>
      </x:c>
      <x:c r="I477" s="32" t="str">
        <x:v>Crema antimicótica</x:v>
      </x:c>
      <x:c r="J477" s="32" t="str">
        <x:v>Dermatológicos</x:v>
      </x:c>
      <x:c r="K477" s="32" t="str">
        <x:v>Acromax</x:v>
      </x:c>
      <x:c r="L477" s="32" t="str">
        <x:v>Tubo 30 g</x:v>
      </x:c>
      <x:c r="M477" s="28" t="n">
        <x:v>30</x:v>
      </x:c>
      <x:c r="N477" s="28" t="n">
        <x:v>20</x:v>
      </x:c>
      <x:c r="O477" s="28" t="n">
        <x:f>M477*N477</x:f>
        <x:v>600</x:v>
      </x:c>
      <x:c r="P477" s="24" t="n">
        <x:v>2.69</x:v>
      </x:c>
      <x:c r="Q477" s="26" t="n">
        <x:v>0.057176560960838174</x:v>
      </x:c>
      <x:c r="R477" s="24" t="n">
        <x:f>O477*P477*Q477</x:f>
        <x:v>92.28296939079281</x:v>
      </x:c>
      <x:c r="S477" s="24" t="n">
        <x:f>P477*(1-Q477)</x:f>
        <x:v>2.5361950510153455</x:v>
      </x:c>
      <x:c r="T477" s="24" t="n">
        <x:f>O477*S477</x:f>
        <x:v>1521.7170306092073</x:v>
      </x:c>
      <x:c r="U477" t="str">
        <x:v>VALLE</x:v>
      </x:c>
      <x:c r="V477" t="str">
        <x:v>Farmacia Valle de los Chillos</x:v>
      </x:c>
      <x:c r="W477" t="str">
        <x:v>Zona Valle</x:v>
      </x:c>
      <x:c r="X477" t="str">
        <x:v>Sangolquí</x:v>
      </x:c>
      <x:c r="Y477" s="32" t="str">
        <x:v>Av. Calderón 101</x:v>
      </x:c>
      <x:c r="Z477" s="22" t="n">
        <x:v>46177</x:v>
      </x:c>
      <x:c r="AA477" t="str">
        <x:v>Recibido</x:v>
      </x:c>
      <x:c r="AB477" t="str">
        <x:v>Contado contra entrega</x:v>
      </x:c>
      <x:c r="AC477" s="32" t="str"/>
    </x:row>
    <x:row r="478">
      <x:c r="A478" t="n">
        <x:v>477</x:v>
      </x:c>
      <x:c r="B478" s="22" t="n">
        <x:v>45707</x:v>
      </x:c>
      <x:c r="C478" t="str">
        <x:v>OC-2025-0477</x:v>
      </x:c>
      <x:c r="D478" t="str">
        <x:v>F-D006-202502-7146</x:v>
      </x:c>
      <x:c r="E478" t="str">
        <x:v>L2502-008-0477</x:v>
      </x:c>
      <x:c r="F478" t="str">
        <x:v>D006</x:v>
      </x:c>
      <x:c r="G478" s="32" t="str">
        <x:v>Insumos Médicos del Pacífico</x:v>
      </x:c>
      <x:c r="H478" t="str">
        <x:v>MED008</x:v>
      </x:c>
      <x:c r="I478" s="32" t="str">
        <x:v>Diclofenaco gel</x:v>
      </x:c>
      <x:c r="J478" s="32" t="str">
        <x:v>Dermatológicos</x:v>
      </x:c>
      <x:c r="K478" s="32" t="str">
        <x:v>Bayer</x:v>
      </x:c>
      <x:c r="L478" s="32" t="str">
        <x:v>Tubo 50 g</x:v>
      </x:c>
      <x:c r="M478" s="28" t="n">
        <x:v>12</x:v>
      </x:c>
      <x:c r="N478" s="28" t="n">
        <x:v>50</x:v>
      </x:c>
      <x:c r="O478" s="28" t="n">
        <x:f>M478*N478</x:f>
        <x:v>600</x:v>
      </x:c>
      <x:c r="P478" s="24" t="n">
        <x:v>1.94</x:v>
      </x:c>
      <x:c r="Q478" s="26" t="n">
        <x:v>0.15741953628060046</x:v>
      </x:c>
      <x:c r="R478" s="24" t="n">
        <x:f>O478*P478*Q478</x:f>
        <x:v>183.23634023061894</x:v>
      </x:c>
      <x:c r="S478" s="24" t="n">
        <x:f>P478*(1-Q478)</x:f>
        <x:v>1.634606099615635</x:v>
      </x:c>
      <x:c r="T478" s="24" t="n">
        <x:f>O478*S478</x:f>
        <x:v>980.7636597693811</x:v>
      </x:c>
      <x:c r="U478" t="str">
        <x:v>SUR</x:v>
      </x:c>
      <x:c r="V478" t="str">
        <x:v>Farmacia del Sur</x:v>
      </x:c>
      <x:c r="W478" t="str">
        <x:v>Zona Sur</x:v>
      </x:c>
      <x:c r="X478" t="str">
        <x:v>Quito</x:v>
      </x:c>
      <x:c r="Y478" s="32" t="str">
        <x:v>Av. Maldonado S25-10</x:v>
      </x:c>
      <x:c r="Z478" s="22" t="n">
        <x:v>45708</x:v>
      </x:c>
      <x:c r="AA478" t="str">
        <x:v>Recibido</x:v>
      </x:c>
      <x:c r="AB478" t="str">
        <x:v>60 días crédito</x:v>
      </x:c>
      <x:c r="AC478" s="32" t="str">
        <x:v>Descuento por volumen</x:v>
      </x:c>
    </x:row>
    <x:row r="479">
      <x:c r="A479" t="n">
        <x:v>478</x:v>
      </x:c>
      <x:c r="B479" s="22" t="n">
        <x:v>46012</x:v>
      </x:c>
      <x:c r="C479" t="str">
        <x:v>OC-2025-0478</x:v>
      </x:c>
      <x:c r="D479" t="str">
        <x:v>F-D004-202512-9543</x:v>
      </x:c>
      <x:c r="E479" t="str">
        <x:v>L2512-009-0478</x:v>
      </x:c>
      <x:c r="F479" t="str">
        <x:v>D004</x:v>
      </x:c>
      <x:c r="G479" s="32" t="str">
        <x:v>Distribuidora Salud Total</x:v>
      </x:c>
      <x:c r="H479" t="str">
        <x:v>MED009</x:v>
      </x:c>
      <x:c r="I479" s="32" t="str">
        <x:v>Losartán 50 mg</x:v>
      </x:c>
      <x:c r="J479" s="32" t="str">
        <x:v>Cardiovasculares</x:v>
      </x:c>
      <x:c r="K479" s="32" t="str">
        <x:v>Laboratorios Bagó</x:v>
      </x:c>
      <x:c r="L479" s="32" t="str">
        <x:v>Caja x 30 tabletas</x:v>
      </x:c>
      <x:c r="M479" s="28" t="n">
        <x:v>4</x:v>
      </x:c>
      <x:c r="N479" s="28" t="n">
        <x:v>50</x:v>
      </x:c>
      <x:c r="O479" s="28" t="n">
        <x:f>M479*N479</x:f>
        <x:v>200</x:v>
      </x:c>
      <x:c r="P479" s="24" t="n">
        <x:v>2.79</x:v>
      </x:c>
      <x:c r="Q479" s="26" t="n">
        <x:v>0.09660345353675975</x:v>
      </x:c>
      <x:c r="R479" s="24" t="n">
        <x:f>O479*P479*Q479</x:f>
        <x:v>53.90472707351194</x:v>
      </x:c>
      <x:c r="S479" s="24" t="n">
        <x:f>P479*(1-Q479)</x:f>
        <x:v>2.5204763646324406</x:v>
      </x:c>
      <x:c r="T479" s="24" t="n">
        <x:f>O479*S479</x:f>
        <x:v>504.0952729264881</x:v>
      </x:c>
      <x:c r="U479" t="str">
        <x:v>NORTE</x:v>
      </x:c>
      <x:c r="V479" t="str">
        <x:v>Farmacia Norte</x:v>
      </x:c>
      <x:c r="W479" t="str">
        <x:v>Zona Norte</x:v>
      </x:c>
      <x:c r="X479" t="str">
        <x:v>Quito</x:v>
      </x:c>
      <x:c r="Y479" s="32" t="str">
        <x:v>Av. 10 de Agosto N45-20</x:v>
      </x:c>
      <x:c r="Z479" s="22" t="n">
        <x:v>46015</x:v>
      </x:c>
      <x:c r="AA479" t="str">
        <x:v>Recibido</x:v>
      </x:c>
      <x:c r="AB479" t="str">
        <x:v>45 días crédito</x:v>
      </x:c>
      <x:c r="AC479" s="32" t="str"/>
    </x:row>
    <x:row r="480">
      <x:c r="A480" t="n">
        <x:v>479</x:v>
      </x:c>
      <x:c r="B480" s="22" t="n">
        <x:v>45753</x:v>
      </x:c>
      <x:c r="C480" t="str">
        <x:v>OC-2025-0479</x:v>
      </x:c>
      <x:c r="D480" t="str">
        <x:v>F-D005-202504-7092</x:v>
      </x:c>
      <x:c r="E480" t="str">
        <x:v>L2504-010-0479</x:v>
      </x:c>
      <x:c r="F480" t="str">
        <x:v>D005</x:v>
      </x:c>
      <x:c r="G480" s="32" t="str">
        <x:v>PharmaExpress Quito</x:v>
      </x:c>
      <x:c r="H480" t="str">
        <x:v>MED010</x:v>
      </x:c>
      <x:c r="I480" s="32" t="str">
        <x:v>Aspirina 100 mg</x:v>
      </x:c>
      <x:c r="J480" s="32" t="str">
        <x:v>Cardiovasculares</x:v>
      </x:c>
      <x:c r="K480" s="32" t="str">
        <x:v>Bayer</x:v>
      </x:c>
      <x:c r="L480" s="32" t="str">
        <x:v>Caja x 30 tabletas</x:v>
      </x:c>
      <x:c r="M480" s="28" t="n">
        <x:v>1</x:v>
      </x:c>
      <x:c r="N480" s="28" t="n">
        <x:v>60</x:v>
      </x:c>
      <x:c r="O480" s="28" t="n">
        <x:f>M480*N480</x:f>
        <x:v>60</x:v>
      </x:c>
      <x:c r="P480" s="24" t="n">
        <x:v>1.61</x:v>
      </x:c>
      <x:c r="Q480" s="26" t="n">
        <x:v>0.09011591295496305</x:v>
      </x:c>
      <x:c r="R480" s="24" t="n">
        <x:f>O480*P480*Q480</x:f>
        <x:v>8.70519719144943</x:v>
      </x:c>
      <x:c r="S480" s="24" t="n">
        <x:f>P480*(1-Q480)</x:f>
        <x:v>1.4649133801425096</x:v>
      </x:c>
      <x:c r="T480" s="24" t="n">
        <x:f>O480*S480</x:f>
        <x:v>87.89480280855058</x:v>
      </x:c>
      <x:c r="U480" t="str">
        <x:v>CENTRO</x:v>
      </x:c>
      <x:c r="V480" t="str">
        <x:v>Farmacia Centro Histórico</x:v>
      </x:c>
      <x:c r="W480" t="str">
        <x:v>Zona Centro</x:v>
      </x:c>
      <x:c r="X480" t="str">
        <x:v>Quito</x:v>
      </x:c>
      <x:c r="Y480" s="32" t="str">
        <x:v>Guayaquil y Chile</x:v>
      </x:c>
      <x:c r="Z480" s="22" t="n">
        <x:v>45756</x:v>
      </x:c>
      <x:c r="AA480" t="str">
        <x:v>Recibido</x:v>
      </x:c>
      <x:c r="AB480" t="str">
        <x:v>30 días crédito</x:v>
      </x:c>
      <x:c r="AC480" s="32" t="str"/>
    </x:row>
    <x:row r="481">
      <x:c r="A481" t="n">
        <x:v>480</x:v>
      </x:c>
      <x:c r="B481" s="22" t="n">
        <x:v>45819</x:v>
      </x:c>
      <x:c r="C481" t="str">
        <x:v>OC-2025-0480</x:v>
      </x:c>
      <x:c r="D481" t="str">
        <x:v>F-D003-202506-6769</x:v>
      </x:c>
      <x:c r="E481" t="str">
        <x:v>L2506-014-0480</x:v>
      </x:c>
      <x:c r="F481" t="str">
        <x:v>D003</x:v>
      </x:c>
      <x:c r="G481" s="32" t="str">
        <x:v>FarmaLogística Sierra</x:v>
      </x:c>
      <x:c r="H481" t="str">
        <x:v>MED014</x:v>
      </x:c>
      <x:c r="I481" s="32" t="str">
        <x:v>Crema antimicótica</x:v>
      </x:c>
      <x:c r="J481" s="32" t="str">
        <x:v>Dermatológicos</x:v>
      </x:c>
      <x:c r="K481" s="32" t="str">
        <x:v>Acromax</x:v>
      </x:c>
      <x:c r="L481" s="32" t="str">
        <x:v>Tubo 30 g</x:v>
      </x:c>
      <x:c r="M481" s="28" t="n">
        <x:v>3</x:v>
      </x:c>
      <x:c r="N481" s="28" t="n">
        <x:v>20</x:v>
      </x:c>
      <x:c r="O481" s="28" t="n">
        <x:f>M481*N481</x:f>
        <x:v>60</x:v>
      </x:c>
      <x:c r="P481" s="24" t="n">
        <x:v>2.17</x:v>
      </x:c>
      <x:c r="Q481" s="26" t="n">
        <x:v>0.04123747256256368</x:v>
      </x:c>
      <x:c r="R481" s="24" t="n">
        <x:f>O481*P481*Q481</x:f>
        <x:v>5.369118927645791</x:v>
      </x:c>
      <x:c r="S481" s="24" t="n">
        <x:f>P481*(1-Q481)</x:f>
        <x:v>2.080514684539237</x:v>
      </x:c>
      <x:c r="T481" s="24" t="n">
        <x:f>O481*S481</x:f>
        <x:v>124.8308810723542</x:v>
      </x:c>
      <x:c r="U481" t="str">
        <x:v>NORTE</x:v>
      </x:c>
      <x:c r="V481" t="str">
        <x:v>Farmacia Norte</x:v>
      </x:c>
      <x:c r="W481" t="str">
        <x:v>Zona Norte</x:v>
      </x:c>
      <x:c r="X481" t="str">
        <x:v>Quito</x:v>
      </x:c>
      <x:c r="Y481" s="32" t="str">
        <x:v>Av. 10 de Agosto N45-20</x:v>
      </x:c>
      <x:c r="Z481" s="22" t="n">
        <x:v>45824</x:v>
      </x:c>
      <x:c r="AA481" t="str">
        <x:v>Recibido</x:v>
      </x:c>
      <x:c r="AB481" t="str">
        <x:v>Contado contra entrega</x:v>
      </x:c>
      <x:c r="AC481" s="32" t="str"/>
    </x:row>
    <x:row r="482">
      <x:c r="A482" t="n">
        <x:v>481</x:v>
      </x:c>
      <x:c r="B482" s="22" t="n">
        <x:v>46205</x:v>
      </x:c>
      <x:c r="C482" t="str">
        <x:v>OC-2026-0481</x:v>
      </x:c>
      <x:c r="D482" t="str">
        <x:v>F-D001-202607-8646</x:v>
      </x:c>
      <x:c r="E482" t="str">
        <x:v>L2607-001-0481</x:v>
      </x:c>
      <x:c r="F482" t="str">
        <x:v>D001</x:v>
      </x:c>
      <x:c r="G482" s="32" t="str">
        <x:v>DistriFarma Andina S.A.</x:v>
      </x:c>
      <x:c r="H482" t="str">
        <x:v>MED001</x:v>
      </x:c>
      <x:c r="I482" s="32" t="str">
        <x:v>Paracetamol 500 mg</x:v>
      </x:c>
      <x:c r="J482" s="32" t="str">
        <x:v>Analgésicos</x:v>
      </x:c>
      <x:c r="K482" s="32" t="str">
        <x:v>Genfar</x:v>
      </x:c>
      <x:c r="L482" s="32" t="str">
        <x:v>Caja x 20 tabletas</x:v>
      </x:c>
      <x:c r="M482" s="28" t="n">
        <x:v>15</x:v>
      </x:c>
      <x:c r="N482" s="28" t="n">
        <x:v>50</x:v>
      </x:c>
      <x:c r="O482" s="28" t="n">
        <x:f>M482*N482</x:f>
        <x:v>750</x:v>
      </x:c>
      <x:c r="P482" s="24" t="n">
        <x:v>0.87</x:v>
      </x:c>
      <x:c r="Q482" s="26" t="n">
        <x:v>0.09635104267074056</x:v>
      </x:c>
      <x:c r="R482" s="24" t="n">
        <x:f>O482*P482*Q482</x:f>
        <x:v>62.869055342658214</x:v>
      </x:c>
      <x:c r="S482" s="24" t="n">
        <x:f>P482*(1-Q482)</x:f>
        <x:v>0.7861745928764557</x:v>
      </x:c>
      <x:c r="T482" s="24" t="n">
        <x:f>O482*S482</x:f>
        <x:v>589.6309446573418</x:v>
      </x:c>
      <x:c r="U482" t="str">
        <x:v>VALLE</x:v>
      </x:c>
      <x:c r="V482" t="str">
        <x:v>Farmacia Valle de los Chillos</x:v>
      </x:c>
      <x:c r="W482" t="str">
        <x:v>Zona Valle</x:v>
      </x:c>
      <x:c r="X482" t="str">
        <x:v>Sangolquí</x:v>
      </x:c>
      <x:c r="Y482" s="32" t="str">
        <x:v>Av. Calderón 101</x:v>
      </x:c>
      <x:c r="Z482" s="22" t="n">
        <x:v>46209</x:v>
      </x:c>
      <x:c r="AA482" t="str">
        <x:v>Recibido</x:v>
      </x:c>
      <x:c r="AB482" t="str">
        <x:v>30 días crédito</x:v>
      </x:c>
      <x:c r="AC482" s="32" t="str"/>
    </x:row>
    <x:row r="483">
      <x:c r="A483" t="n">
        <x:v>482</x:v>
      </x:c>
      <x:c r="B483" s="22" t="n">
        <x:v>45935</x:v>
      </x:c>
      <x:c r="C483" t="str">
        <x:v>OC-2025-0482</x:v>
      </x:c>
      <x:c r="D483" t="str">
        <x:v>F-D001-202510-8724</x:v>
      </x:c>
      <x:c r="E483" t="str">
        <x:v>L2510-005-0482</x:v>
      </x:c>
      <x:c r="F483" t="str">
        <x:v>D001</x:v>
      </x:c>
      <x:c r="G483" s="32" t="str">
        <x:v>DistriFarma Andina S.A.</x:v>
      </x:c>
      <x:c r="H483" t="str">
        <x:v>MED005</x:v>
      </x:c>
      <x:c r="I483" s="32" t="str">
        <x:v>Loratadina 10 mg</x:v>
      </x:c>
      <x:c r="J483" s="32" t="str">
        <x:v>Antigripales</x:v>
      </x:c>
      <x:c r="K483" s="32" t="str">
        <x:v>Genfar</x:v>
      </x:c>
      <x:c r="L483" s="32" t="str">
        <x:v>Caja x 10 tabletas</x:v>
      </x:c>
      <x:c r="M483" s="28" t="n">
        <x:v>3</x:v>
      </x:c>
      <x:c r="N483" s="28" t="n">
        <x:v>60</x:v>
      </x:c>
      <x:c r="O483" s="28" t="n">
        <x:f>M483*N483</x:f>
        <x:v>180</x:v>
      </x:c>
      <x:c r="P483" s="24" t="n">
        <x:v>1.02</x:v>
      </x:c>
      <x:c r="Q483" s="26" t="n">
        <x:v>0.09912686108427171</x:v>
      </x:c>
      <x:c r="R483" s="24" t="n">
        <x:f>O483*P483*Q483</x:f>
        <x:v>18.199691695072286</x:v>
      </x:c>
      <x:c r="S483" s="24" t="n">
        <x:f>P483*(1-Q483)</x:f>
        <x:v>0.9188906016940429</x:v>
      </x:c>
      <x:c r="T483" s="24" t="n">
        <x:f>O483*S483</x:f>
        <x:v>165.40030830492773</x:v>
      </x:c>
      <x:c r="U483" t="str">
        <x:v>NORTE</x:v>
      </x:c>
      <x:c r="V483" t="str">
        <x:v>Farmacia Norte</x:v>
      </x:c>
      <x:c r="W483" t="str">
        <x:v>Zona Norte</x:v>
      </x:c>
      <x:c r="X483" t="str">
        <x:v>Quito</x:v>
      </x:c>
      <x:c r="Y483" s="32" t="str">
        <x:v>Av. 10 de Agosto N45-20</x:v>
      </x:c>
      <x:c r="Z483" s="22" t="n">
        <x:v>45937</x:v>
      </x:c>
      <x:c r="AA483" t="str">
        <x:v>Recibido</x:v>
      </x:c>
      <x:c r="AB483" t="str">
        <x:v>30 días crédito</x:v>
      </x:c>
      <x:c r="AC483" s="32" t="str"/>
    </x:row>
    <x:row r="484">
      <x:c r="A484" t="n">
        <x:v>483</x:v>
      </x:c>
      <x:c r="B484" s="22" t="n">
        <x:v>45861</x:v>
      </x:c>
      <x:c r="C484" t="str">
        <x:v>OC-2025-0483</x:v>
      </x:c>
      <x:c r="D484" t="str">
        <x:v>F-D004-202507-5550</x:v>
      </x:c>
      <x:c r="E484" t="str">
        <x:v>L2507-011-0483</x:v>
      </x:c>
      <x:c r="F484" t="str">
        <x:v>D004</x:v>
      </x:c>
      <x:c r="G484" s="32" t="str">
        <x:v>Distribuidora Salud Total</x:v>
      </x:c>
      <x:c r="H484" t="str">
        <x:v>MED011</x:v>
      </x:c>
      <x:c r="I484" s="32" t="str">
        <x:v>Jarabe antigripal</x:v>
      </x:c>
      <x:c r="J484" s="32" t="str">
        <x:v>Antigripales</x:v>
      </x:c>
      <x:c r="K484" s="32" t="str">
        <x:v>MEDICAMENTA</x:v>
      </x:c>
      <x:c r="L484" s="32" t="str">
        <x:v>Frasco 120 ml</x:v>
      </x:c>
      <x:c r="M484" s="28" t="n">
        <x:v>20</x:v>
      </x:c>
      <x:c r="N484" s="28" t="n">
        <x:v>24</x:v>
      </x:c>
      <x:c r="O484" s="28" t="n">
        <x:f>M484*N484</x:f>
        <x:v>480</x:v>
      </x:c>
      <x:c r="P484" s="24" t="n">
        <x:v>2.67</x:v>
      </x:c>
      <x:c r="Q484" s="26" t="n">
        <x:v>0.12575351936008478</x:v>
      </x:c>
      <x:c r="R484" s="24" t="n">
        <x:f>O484*P484*Q484</x:f>
        <x:v>161.16571041188465</x:v>
      </x:c>
      <x:c r="S484" s="24" t="n">
        <x:f>P484*(1-Q484)</x:f>
        <x:v>2.3342381033085737</x:v>
      </x:c>
      <x:c r="T484" s="24" t="n">
        <x:f>O484*S484</x:f>
        <x:v>1120.4342895881155</x:v>
      </x:c>
      <x:c r="U484" t="str">
        <x:v>NORTE</x:v>
      </x:c>
      <x:c r="V484" t="str">
        <x:v>Farmacia Norte</x:v>
      </x:c>
      <x:c r="W484" t="str">
        <x:v>Zona Norte</x:v>
      </x:c>
      <x:c r="X484" t="str">
        <x:v>Quito</x:v>
      </x:c>
      <x:c r="Y484" s="32" t="str">
        <x:v>Av. 10 de Agosto N45-20</x:v>
      </x:c>
      <x:c r="Z484" s="22" t="n">
        <x:v>45864</x:v>
      </x:c>
      <x:c r="AA484" t="str">
        <x:v>Recibido</x:v>
      </x:c>
      <x:c r="AB484" t="str">
        <x:v>45 días crédito</x:v>
      </x:c>
      <x:c r="AC484" s="32" t="str">
        <x:v>Entrega coordinada fuera de horario regular</x:v>
      </x:c>
    </x:row>
    <x:row r="485">
      <x:c r="A485" t="n">
        <x:v>484</x:v>
      </x:c>
      <x:c r="B485" s="22" t="n">
        <x:v>46384</x:v>
      </x:c>
      <x:c r="C485" t="str">
        <x:v>OC-2026-0484</x:v>
      </x:c>
      <x:c r="D485" t="str">
        <x:v>F-D008-202612-9750</x:v>
      </x:c>
      <x:c r="E485" t="str">
        <x:v>L2612-007-0484</x:v>
      </x:c>
      <x:c r="F485" t="str">
        <x:v>D008</x:v>
      </x:c>
      <x:c r="G485" s="32" t="str">
        <x:v>Mayorista MedicPlus</x:v>
      </x:c>
      <x:c r="H485" t="str">
        <x:v>MED007</x:v>
      </x:c>
      <x:c r="I485" s="32" t="str">
        <x:v>Omeprazol 20 mg</x:v>
      </x:c>
      <x:c r="J485" s="32" t="str">
        <x:v>Gastrointestinales</x:v>
      </x:c>
      <x:c r="K485" s="32" t="str">
        <x:v>La Santé</x:v>
      </x:c>
      <x:c r="L485" s="32" t="str">
        <x:v>Caja x 30 cápsulas</x:v>
      </x:c>
      <x:c r="M485" s="28" t="n">
        <x:v>30</x:v>
      </x:c>
      <x:c r="N485" s="28" t="n">
        <x:v>10</x:v>
      </x:c>
      <x:c r="O485" s="28" t="n">
        <x:f>M485*N485</x:f>
        <x:v>300</x:v>
      </x:c>
      <x:c r="P485" s="24" t="n">
        <x:v>3.11</x:v>
      </x:c>
      <x:c r="Q485" s="26" t="n">
        <x:v>0.08634979067963047</x:v>
      </x:c>
      <x:c r="R485" s="24" t="n">
        <x:f>O485*P485*Q485</x:f>
        <x:v>80.56435470409524</x:v>
      </x:c>
      <x:c r="S485" s="24" t="n">
        <x:f>P485*(1-Q485)</x:f>
        <x:v>2.841452150986349</x:v>
      </x:c>
      <x:c r="T485" s="24" t="n">
        <x:f>O485*S485</x:f>
        <x:v>852.4356452959047</x:v>
      </x:c>
      <x:c r="U485" t="str">
        <x:v>VALLE</x:v>
      </x:c>
      <x:c r="V485" t="str">
        <x:v>Farmacia Valle de los Chillos</x:v>
      </x:c>
      <x:c r="W485" t="str">
        <x:v>Zona Valle</x:v>
      </x:c>
      <x:c r="X485" t="str">
        <x:v>Sangolquí</x:v>
      </x:c>
      <x:c r="Y485" s="32" t="str">
        <x:v>Av. Calderón 101</x:v>
      </x:c>
      <x:c r="Z485" s="22" t="n">
        <x:v>46387</x:v>
      </x:c>
      <x:c r="AA485" t="str">
        <x:v>Recibido</x:v>
      </x:c>
      <x:c r="AB485" t="str">
        <x:v>30 días crédito</x:v>
      </x:c>
      <x:c r="AC485" s="32" t="str"/>
    </x:row>
    <x:row r="486">
      <x:c r="A486" t="n">
        <x:v>485</x:v>
      </x:c>
      <x:c r="B486" s="22" t="n">
        <x:v>45820</x:v>
      </x:c>
      <x:c r="C486" t="str">
        <x:v>OC-2025-0485</x:v>
      </x:c>
      <x:c r="D486" t="str">
        <x:v>F-D005-202506-3034</x:v>
      </x:c>
      <x:c r="E486" t="str">
        <x:v>L2506-001-0485</x:v>
      </x:c>
      <x:c r="F486" t="str">
        <x:v>D005</x:v>
      </x:c>
      <x:c r="G486" s="32" t="str">
        <x:v>PharmaExpress Quito</x:v>
      </x:c>
      <x:c r="H486" t="str">
        <x:v>MED001</x:v>
      </x:c>
      <x:c r="I486" s="32" t="str">
        <x:v>Paracetamol 500 mg</x:v>
      </x:c>
      <x:c r="J486" s="32" t="str">
        <x:v>Analgésicos</x:v>
      </x:c>
      <x:c r="K486" s="32" t="str">
        <x:v>Genfar</x:v>
      </x:c>
      <x:c r="L486" s="32" t="str">
        <x:v>Caja x 20 tabletas</x:v>
      </x:c>
      <x:c r="M486" s="28" t="n">
        <x:v>13</x:v>
      </x:c>
      <x:c r="N486" s="28" t="n">
        <x:v>24</x:v>
      </x:c>
      <x:c r="O486" s="28" t="n">
        <x:f>M486*N486</x:f>
        <x:v>312</x:v>
      </x:c>
      <x:c r="P486" s="24" t="n">
        <x:v>0.81</x:v>
      </x:c>
      <x:c r="Q486" s="26" t="n">
        <x:v>0.08927435497632083</x:v>
      </x:c>
      <x:c r="R486" s="24" t="n">
        <x:f>O486*P486*Q486</x:f>
        <x:v>22.561414989615802</x:v>
      </x:c>
      <x:c r="S486" s="24" t="n">
        <x:f>P486*(1-Q486)</x:f>
        <x:v>0.7376877724691802</x:v>
      </x:c>
      <x:c r="T486" s="24" t="n">
        <x:f>O486*S486</x:f>
        <x:v>230.1585850103842</x:v>
      </x:c>
      <x:c r="U486" t="str">
        <x:v>CENTRO</x:v>
      </x:c>
      <x:c r="V486" t="str">
        <x:v>Farmacia Centro Histórico</x:v>
      </x:c>
      <x:c r="W486" t="str">
        <x:v>Zona Centro</x:v>
      </x:c>
      <x:c r="X486" t="str">
        <x:v>Quito</x:v>
      </x:c>
      <x:c r="Y486" s="32" t="str">
        <x:v>Guayaquil y Chile</x:v>
      </x:c>
      <x:c r="Z486" s="22" t="n">
        <x:v>45824</x:v>
      </x:c>
      <x:c r="AA486" t="str">
        <x:v>Recibido</x:v>
      </x:c>
      <x:c r="AB486" t="str">
        <x:v>30 días crédito</x:v>
      </x:c>
      <x:c r="AC486" s="32" t="str"/>
    </x:row>
    <x:row r="487">
      <x:c r="A487" t="n">
        <x:v>486</x:v>
      </x:c>
      <x:c r="B487" s="22" t="n">
        <x:v>45982</x:v>
      </x:c>
      <x:c r="C487" t="str">
        <x:v>OC-2025-0486</x:v>
      </x:c>
      <x:c r="D487" t="str">
        <x:v>F-D001-202511-4512</x:v>
      </x:c>
      <x:c r="E487" t="str">
        <x:v>L2511-011-0486</x:v>
      </x:c>
      <x:c r="F487" t="str">
        <x:v>D001</x:v>
      </x:c>
      <x:c r="G487" s="32" t="str">
        <x:v>DistriFarma Andina S.A.</x:v>
      </x:c>
      <x:c r="H487" t="str">
        <x:v>MED011</x:v>
      </x:c>
      <x:c r="I487" s="32" t="str">
        <x:v>Jarabe antigripal</x:v>
      </x:c>
      <x:c r="J487" s="32" t="str">
        <x:v>Antigripales</x:v>
      </x:c>
      <x:c r="K487" s="32" t="str">
        <x:v>MEDICAMENTA</x:v>
      </x:c>
      <x:c r="L487" s="32" t="str">
        <x:v>Frasco 120 ml</x:v>
      </x:c>
      <x:c r="M487" s="28" t="n">
        <x:v>48</x:v>
      </x:c>
      <x:c r="N487" s="28" t="n">
        <x:v>10</x:v>
      </x:c>
      <x:c r="O487" s="28" t="n">
        <x:f>M487*N487</x:f>
        <x:v>480</x:v>
      </x:c>
      <x:c r="P487" s="24" t="n">
        <x:v>2.89</x:v>
      </x:c>
      <x:c r="Q487" s="26" t="n">
        <x:v>0.09268482706623228</x:v>
      </x:c>
      <x:c r="R487" s="24" t="n">
        <x:f>O487*P487*Q487</x:f>
        <x:v>128.57239210627742</x:v>
      </x:c>
      <x:c r="S487" s="24" t="n">
        <x:f>P487*(1-Q487)</x:f>
        <x:v>2.6221408497785887</x:v>
      </x:c>
      <x:c r="T487" s="24" t="n">
        <x:f>O487*S487</x:f>
        <x:v>1258.6276078937226</x:v>
      </x:c>
      <x:c r="U487" t="str">
        <x:v>NORTE</x:v>
      </x:c>
      <x:c r="V487" t="str">
        <x:v>Farmacia Norte</x:v>
      </x:c>
      <x:c r="W487" t="str">
        <x:v>Zona Norte</x:v>
      </x:c>
      <x:c r="X487" t="str">
        <x:v>Quito</x:v>
      </x:c>
      <x:c r="Y487" s="32" t="str">
        <x:v>Av. 10 de Agosto N45-20</x:v>
      </x:c>
      <x:c r="Z487" s="22" t="n">
        <x:v>45987</x:v>
      </x:c>
      <x:c r="AA487" t="str">
        <x:v>Recibido</x:v>
      </x:c>
      <x:c r="AB487" t="str">
        <x:v>30 días crédito</x:v>
      </x:c>
      <x:c r="AC487" s="32" t="str"/>
    </x:row>
    <x:row r="488">
      <x:c r="A488" t="n">
        <x:v>487</x:v>
      </x:c>
      <x:c r="B488" s="22" t="n">
        <x:v>45688</x:v>
      </x:c>
      <x:c r="C488" t="str">
        <x:v>OC-2025-0487</x:v>
      </x:c>
      <x:c r="D488" t="str">
        <x:v>F-D008-202501-3744</x:v>
      </x:c>
      <x:c r="E488" t="str">
        <x:v>L2501-002-0487</x:v>
      </x:c>
      <x:c r="F488" t="str">
        <x:v>D008</x:v>
      </x:c>
      <x:c r="G488" s="32" t="str">
        <x:v>Mayorista MedicPlus</x:v>
      </x:c>
      <x:c r="H488" t="str">
        <x:v>MED002</x:v>
      </x:c>
      <x:c r="I488" s="32" t="str">
        <x:v>Ibuprofeno 400 mg</x:v>
      </x:c>
      <x:c r="J488" s="32" t="str">
        <x:v>Analgésicos</x:v>
      </x:c>
      <x:c r="K488" s="32" t="str">
        <x:v>La Santé</x:v>
      </x:c>
      <x:c r="L488" s="32" t="str">
        <x:v>Caja x 20 tabletas</x:v>
      </x:c>
      <x:c r="M488" s="28" t="n">
        <x:v>8</x:v>
      </x:c>
      <x:c r="N488" s="28" t="n">
        <x:v>10</x:v>
      </x:c>
      <x:c r="O488" s="28" t="n">
        <x:f>M488*N488</x:f>
        <x:v>80</x:v>
      </x:c>
      <x:c r="P488" s="24" t="n">
        <x:v>1.11</x:v>
      </x:c>
      <x:c r="Q488" s="26" t="n">
        <x:v>0.100174583629224</x:v>
      </x:c>
      <x:c r="R488" s="24" t="n">
        <x:f>O488*P488*Q488</x:f>
        <x:v>8.895503026275092</x:v>
      </x:c>
      <x:c r="S488" s="24" t="n">
        <x:f>P488*(1-Q488)</x:f>
        <x:v>0.9988062121715614</x:v>
      </x:c>
      <x:c r="T488" s="24" t="n">
        <x:f>O488*S488</x:f>
        <x:v>79.90449697372492</x:v>
      </x:c>
      <x:c r="U488" t="str">
        <x:v>CENTRO</x:v>
      </x:c>
      <x:c r="V488" t="str">
        <x:v>Farmacia Centro Histórico</x:v>
      </x:c>
      <x:c r="W488" t="str">
        <x:v>Zona Centro</x:v>
      </x:c>
      <x:c r="X488" t="str">
        <x:v>Quito</x:v>
      </x:c>
      <x:c r="Y488" s="32" t="str">
        <x:v>Guayaquil y Chile</x:v>
      </x:c>
      <x:c r="Z488" s="22" t="n">
        <x:v>45690</x:v>
      </x:c>
      <x:c r="AA488" t="str">
        <x:v>Recibido</x:v>
      </x:c>
      <x:c r="AB488" t="str">
        <x:v>30 días crédito</x:v>
      </x:c>
      <x:c r="AC488" s="32" t="str">
        <x:v>Entrega coordinada fuera de horario regular</x:v>
      </x:c>
    </x:row>
    <x:row r="489">
      <x:c r="A489" t="n">
        <x:v>488</x:v>
      </x:c>
      <x:c r="B489" s="22" t="n">
        <x:v>45921</x:v>
      </x:c>
      <x:c r="C489" t="str">
        <x:v>OC-2025-0488</x:v>
      </x:c>
      <x:c r="D489" t="str">
        <x:v>F-D002-202509-2123</x:v>
      </x:c>
      <x:c r="E489" t="str">
        <x:v>L2509-004-0488</x:v>
      </x:c>
      <x:c r="F489" t="str">
        <x:v>D002</x:v>
      </x:c>
      <x:c r="G489" s="32" t="str">
        <x:v>MedSupply Ecuador Cía. Ltda.</x:v>
      </x:c>
      <x:c r="H489" t="str">
        <x:v>MED004</x:v>
      </x:c>
      <x:c r="I489" s="32" t="str">
        <x:v>Azitromicina 500 mg</x:v>
      </x:c>
      <x:c r="J489" s="32" t="str">
        <x:v>Antibióticos</x:v>
      </x:c>
      <x:c r="K489" s="32" t="str">
        <x:v>Pfizer</x:v>
      </x:c>
      <x:c r="L489" s="32" t="str">
        <x:v>Caja x 3 tabletas</x:v>
      </x:c>
      <x:c r="M489" s="28" t="n">
        <x:v>8</x:v>
      </x:c>
      <x:c r="N489" s="28" t="n">
        <x:v>50</x:v>
      </x:c>
      <x:c r="O489" s="28" t="n">
        <x:f>M489*N489</x:f>
        <x:v>400</x:v>
      </x:c>
      <x:c r="P489" s="24" t="n">
        <x:v>4.49</x:v>
      </x:c>
      <x:c r="Q489" s="26" t="n">
        <x:v>0.06395397043391299</x:v>
      </x:c>
      <x:c r="R489" s="24" t="n">
        <x:f>O489*P489*Q489</x:f>
        <x:v>114.86133089930773</x:v>
      </x:c>
      <x:c r="S489" s="24" t="n">
        <x:f>P489*(1-Q489)</x:f>
        <x:v>4.202846672751731</x:v>
      </x:c>
      <x:c r="T489" s="24" t="n">
        <x:f>O489*S489</x:f>
        <x:v>1681.1386691006924</x:v>
      </x:c>
      <x:c r="U489" t="str">
        <x:v>CENTRO</x:v>
      </x:c>
      <x:c r="V489" t="str">
        <x:v>Farmacia Centro Histórico</x:v>
      </x:c>
      <x:c r="W489" t="str">
        <x:v>Zona Centro</x:v>
      </x:c>
      <x:c r="X489" t="str">
        <x:v>Quito</x:v>
      </x:c>
      <x:c r="Y489" s="32" t="str">
        <x:v>Guayaquil y Chile</x:v>
      </x:c>
      <x:c r="Z489" s="22" t="n">
        <x:v>45926</x:v>
      </x:c>
      <x:c r="AA489" t="str">
        <x:v>Recibido</x:v>
      </x:c>
      <x:c r="AB489" t="str">
        <x:v>15 días crédito</x:v>
      </x:c>
      <x:c r="AC489" s="32" t="str"/>
    </x:row>
    <x:row r="490">
      <x:c r="A490" t="n">
        <x:v>489</x:v>
      </x:c>
      <x:c r="B490" s="22" t="n">
        <x:v>46133</x:v>
      </x:c>
      <x:c r="C490" t="str">
        <x:v>OC-2026-0489</x:v>
      </x:c>
      <x:c r="D490" t="str">
        <x:v>F-D003-202604-3738</x:v>
      </x:c>
      <x:c r="E490" t="str">
        <x:v>L2604-005-0489</x:v>
      </x:c>
      <x:c r="F490" t="str">
        <x:v>D003</x:v>
      </x:c>
      <x:c r="G490" s="32" t="str">
        <x:v>FarmaLogística Sierra</x:v>
      </x:c>
      <x:c r="H490" t="str">
        <x:v>MED005</x:v>
      </x:c>
      <x:c r="I490" s="32" t="str">
        <x:v>Loratadina 10 mg</x:v>
      </x:c>
      <x:c r="J490" s="32" t="str">
        <x:v>Antigripales</x:v>
      </x:c>
      <x:c r="K490" s="32" t="str">
        <x:v>Genfar</x:v>
      </x:c>
      <x:c r="L490" s="32" t="str">
        <x:v>Caja x 10 tabletas</x:v>
      </x:c>
      <x:c r="M490" s="28" t="n">
        <x:v>60</x:v>
      </x:c>
      <x:c r="N490" s="28" t="n">
        <x:v>10</x:v>
      </x:c>
      <x:c r="O490" s="28" t="n">
        <x:f>M490*N490</x:f>
        <x:v>600</x:v>
      </x:c>
      <x:c r="P490" s="24" t="n">
        <x:v>0.95</x:v>
      </x:c>
      <x:c r="Q490" s="26" t="n">
        <x:v>0.086050351591921</x:v>
      </x:c>
      <x:c r="R490" s="24" t="n">
        <x:f>O490*P490*Q490</x:f>
        <x:v>49.04870040739497</x:v>
      </x:c>
      <x:c r="S490" s="24" t="n">
        <x:f>P490*(1-Q490)</x:f>
        <x:v>0.8682521659876751</x:v>
      </x:c>
      <x:c r="T490" s="24" t="n">
        <x:f>O490*S490</x:f>
        <x:v>520.9512995926051</x:v>
      </x:c>
      <x:c r="U490" t="str">
        <x:v>CENTRO</x:v>
      </x:c>
      <x:c r="V490" t="str">
        <x:v>Farmacia Centro Histórico</x:v>
      </x:c>
      <x:c r="W490" t="str">
        <x:v>Zona Centro</x:v>
      </x:c>
      <x:c r="X490" t="str">
        <x:v>Quito</x:v>
      </x:c>
      <x:c r="Y490" s="32" t="str">
        <x:v>Guayaquil y Chile</x:v>
      </x:c>
      <x:c r="Z490" s="22" t="n">
        <x:v>46134</x:v>
      </x:c>
      <x:c r="AA490" t="str">
        <x:v>Recibido</x:v>
      </x:c>
      <x:c r="AB490" t="str">
        <x:v>Contado contra entrega</x:v>
      </x:c>
      <x:c r="AC490" s="32" t="str"/>
    </x:row>
    <x:row r="491">
      <x:c r="A491" t="n">
        <x:v>490</x:v>
      </x:c>
      <x:c r="B491" s="22" t="n">
        <x:v>46002</x:v>
      </x:c>
      <x:c r="C491" t="str">
        <x:v>OC-2025-0490</x:v>
      </x:c>
      <x:c r="D491" t="str">
        <x:v>F-D007-202512-8740</x:v>
      </x:c>
      <x:c r="E491" t="str">
        <x:v>L2512-006-0490</x:v>
      </x:c>
      <x:c r="F491" t="str">
        <x:v>D007</x:v>
      </x:c>
      <x:c r="G491" s="32" t="str">
        <x:v>Comercializadora BioFarma</x:v>
      </x:c>
      <x:c r="H491" t="str">
        <x:v>MED006</x:v>
      </x:c>
      <x:c r="I491" s="32" t="str">
        <x:v>Vitamina C 1 g</x:v>
      </x:c>
      <x:c r="J491" s="32" t="str">
        <x:v>Vitaminas</x:v>
      </x:c>
      <x:c r="K491" s="32" t="str">
        <x:v>Novartis</x:v>
      </x:c>
      <x:c r="L491" s="32" t="str">
        <x:v>Tubo x 10 efervescentes</x:v>
      </x:c>
      <x:c r="M491" s="28" t="n">
        <x:v>20</x:v>
      </x:c>
      <x:c r="N491" s="28" t="n">
        <x:v>24</x:v>
      </x:c>
      <x:c r="O491" s="28" t="n">
        <x:f>M491*N491</x:f>
        <x:v>480</x:v>
      </x:c>
      <x:c r="P491" s="24" t="n">
        <x:v>2.23</x:v>
      </x:c>
      <x:c r="Q491" s="26" t="n">
        <x:v>0.05537858799319035</x:v>
      </x:c>
      <x:c r="R491" s="24" t="n">
        <x:f>O491*P491*Q491</x:f>
        <x:v>59.27724058791095</x:v>
      </x:c>
      <x:c r="S491" s="24" t="n">
        <x:f>P491*(1-Q491)</x:f>
        <x:v>2.1065057487751853</x:v>
      </x:c>
      <x:c r="T491" s="24" t="n">
        <x:f>O491*S491</x:f>
        <x:v>1011.122759412089</x:v>
      </x:c>
      <x:c r="U491" t="str">
        <x:v>SUR</x:v>
      </x:c>
      <x:c r="V491" t="str">
        <x:v>Farmacia del Sur</x:v>
      </x:c>
      <x:c r="W491" t="str">
        <x:v>Zona Sur</x:v>
      </x:c>
      <x:c r="X491" t="str">
        <x:v>Quito</x:v>
      </x:c>
      <x:c r="Y491" s="32" t="str">
        <x:v>Av. Maldonado S25-10</x:v>
      </x:c>
      <x:c r="Z491" s="22" t="n">
        <x:v>46005</x:v>
      </x:c>
      <x:c r="AA491" t="str">
        <x:v>Recibido</x:v>
      </x:c>
      <x:c r="AB491" t="str">
        <x:v>15 días crédito</x:v>
      </x:c>
      <x:c r="AC491" s="32" t="str">
        <x:v>Entrega coordinada fuera de horario regular</x:v>
      </x:c>
    </x:row>
    <x:row r="492">
      <x:c r="A492" t="n">
        <x:v>491</x:v>
      </x:c>
      <x:c r="B492" s="22" t="n">
        <x:v>45697</x:v>
      </x:c>
      <x:c r="C492" t="str">
        <x:v>OC-2025-0491</x:v>
      </x:c>
      <x:c r="D492" t="str">
        <x:v>F-D003-202502-9007</x:v>
      </x:c>
      <x:c r="E492" t="str">
        <x:v>L2502-001-0491</x:v>
      </x:c>
      <x:c r="F492" t="str">
        <x:v>D003</x:v>
      </x:c>
      <x:c r="G492" s="32" t="str">
        <x:v>FarmaLogística Sierra</x:v>
      </x:c>
      <x:c r="H492" t="str">
        <x:v>MED001</x:v>
      </x:c>
      <x:c r="I492" s="32" t="str">
        <x:v>Paracetamol 500 mg</x:v>
      </x:c>
      <x:c r="J492" s="32" t="str">
        <x:v>Analgésicos</x:v>
      </x:c>
      <x:c r="K492" s="32" t="str">
        <x:v>Genfar</x:v>
      </x:c>
      <x:c r="L492" s="32" t="str">
        <x:v>Caja x 20 tabletas</x:v>
      </x:c>
      <x:c r="M492" s="28" t="n">
        <x:v>24</x:v>
      </x:c>
      <x:c r="N492" s="28" t="n">
        <x:v>10</x:v>
      </x:c>
      <x:c r="O492" s="28" t="n">
        <x:f>M492*N492</x:f>
        <x:v>240</x:v>
      </x:c>
      <x:c r="P492" s="24" t="n">
        <x:v>0.78</x:v>
      </x:c>
      <x:c r="Q492" s="26" t="n">
        <x:v>0.06950372193173564</x:v>
      </x:c>
      <x:c r="R492" s="24" t="n">
        <x:f>O492*P492*Q492</x:f>
        <x:v>13.011096745620913</x:v>
      </x:c>
      <x:c r="S492" s="24" t="n">
        <x:f>P492*(1-Q492)</x:f>
        <x:v>0.7257870968932463</x:v>
      </x:c>
      <x:c r="T492" s="24" t="n">
        <x:f>O492*S492</x:f>
        <x:v>174.1889032543791</x:v>
      </x:c>
      <x:c r="U492" t="str">
        <x:v>CENTRO</x:v>
      </x:c>
      <x:c r="V492" t="str">
        <x:v>Farmacia Centro Histórico</x:v>
      </x:c>
      <x:c r="W492" t="str">
        <x:v>Zona Centro</x:v>
      </x:c>
      <x:c r="X492" t="str">
        <x:v>Quito</x:v>
      </x:c>
      <x:c r="Y492" s="32" t="str">
        <x:v>Guayaquil y Chile</x:v>
      </x:c>
      <x:c r="Z492" s="22" t="n">
        <x:v>45702</x:v>
      </x:c>
      <x:c r="AA492" t="str">
        <x:v>Recibido</x:v>
      </x:c>
      <x:c r="AB492" t="str">
        <x:v>Contado contra entrega</x:v>
      </x:c>
      <x:c r="AC492" s="32" t="str"/>
    </x:row>
    <x:row r="493">
      <x:c r="A493" t="n">
        <x:v>492</x:v>
      </x:c>
      <x:c r="B493" s="22" t="n">
        <x:v>45871</x:v>
      </x:c>
      <x:c r="C493" t="str">
        <x:v>OC-2025-0492</x:v>
      </x:c>
      <x:c r="D493" t="str">
        <x:v>F-D007-202508-8098</x:v>
      </x:c>
      <x:c r="E493" t="str">
        <x:v>L2508-006-0492</x:v>
      </x:c>
      <x:c r="F493" t="str">
        <x:v>D007</x:v>
      </x:c>
      <x:c r="G493" s="32" t="str">
        <x:v>Comercializadora BioFarma</x:v>
      </x:c>
      <x:c r="H493" t="str">
        <x:v>MED006</x:v>
      </x:c>
      <x:c r="I493" s="32" t="str">
        <x:v>Vitamina C 1 g</x:v>
      </x:c>
      <x:c r="J493" s="32" t="str">
        <x:v>Vitaminas</x:v>
      </x:c>
      <x:c r="K493" s="32" t="str">
        <x:v>Novartis</x:v>
      </x:c>
      <x:c r="L493" s="32" t="str">
        <x:v>Tubo x 10 efervescentes</x:v>
      </x:c>
      <x:c r="M493" s="28" t="n">
        <x:v>5</x:v>
      </x:c>
      <x:c r="N493" s="28" t="n">
        <x:v>30</x:v>
      </x:c>
      <x:c r="O493" s="28" t="n">
        <x:f>M493*N493</x:f>
        <x:v>150</x:v>
      </x:c>
      <x:c r="P493" s="24" t="n">
        <x:v>2.24</x:v>
      </x:c>
      <x:c r="Q493" s="26" t="n">
        <x:v>0.07822567208111574</x:v>
      </x:c>
      <x:c r="R493" s="24" t="n">
        <x:f>O493*P493*Q493</x:f>
        <x:v>26.28382581925489</x:v>
      </x:c>
      <x:c r="S493" s="24" t="n">
        <x:f>P493*(1-Q493)</x:f>
        <x:v>2.064774494538301</x:v>
      </x:c>
      <x:c r="T493" s="24" t="n">
        <x:f>O493*S493</x:f>
        <x:v>309.71617418074516</x:v>
      </x:c>
      <x:c r="U493" t="str">
        <x:v>NORTE</x:v>
      </x:c>
      <x:c r="V493" t="str">
        <x:v>Farmacia Norte</x:v>
      </x:c>
      <x:c r="W493" t="str">
        <x:v>Zona Norte</x:v>
      </x:c>
      <x:c r="X493" t="str">
        <x:v>Quito</x:v>
      </x:c>
      <x:c r="Y493" s="32" t="str">
        <x:v>Av. 10 de Agosto N45-20</x:v>
      </x:c>
      <x:c r="Z493" s="22" t="n">
        <x:v>45872</x:v>
      </x:c>
      <x:c r="AA493" t="str">
        <x:v>Recibido</x:v>
      </x:c>
      <x:c r="AB493" t="str">
        <x:v>15 días crédito</x:v>
      </x:c>
      <x:c r="AC493" s="32" t="str">
        <x:v>Entrega coordinada fuera de horario regular</x:v>
      </x:c>
    </x:row>
    <x:row r="494">
      <x:c r="A494" t="n">
        <x:v>493</x:v>
      </x:c>
      <x:c r="B494" s="22" t="n">
        <x:v>46060</x:v>
      </x:c>
      <x:c r="C494" t="str">
        <x:v>OC-2026-0493</x:v>
      </x:c>
      <x:c r="D494" t="str">
        <x:v>F-D005-202602-6418</x:v>
      </x:c>
      <x:c r="E494" t="str">
        <x:v>L2602-005-0493</x:v>
      </x:c>
      <x:c r="F494" t="str">
        <x:v>D005</x:v>
      </x:c>
      <x:c r="G494" s="32" t="str">
        <x:v>PharmaExpress Quito</x:v>
      </x:c>
      <x:c r="H494" t="str">
        <x:v>MED005</x:v>
      </x:c>
      <x:c r="I494" s="32" t="str">
        <x:v>Loratadina 10 mg</x:v>
      </x:c>
      <x:c r="J494" s="32" t="str">
        <x:v>Antigripales</x:v>
      </x:c>
      <x:c r="K494" s="32" t="str">
        <x:v>Genfar</x:v>
      </x:c>
      <x:c r="L494" s="32" t="str">
        <x:v>Caja x 10 tabletas</x:v>
      </x:c>
      <x:c r="M494" s="28" t="n">
        <x:v>4</x:v>
      </x:c>
      <x:c r="N494" s="28" t="n">
        <x:v>30</x:v>
      </x:c>
      <x:c r="O494" s="28" t="n">
        <x:f>M494*N494</x:f>
        <x:v>120</x:v>
      </x:c>
      <x:c r="P494" s="24" t="n">
        <x:v>1</x:v>
      </x:c>
      <x:c r="Q494" s="26" t="n">
        <x:v>0.0829383420497187</x:v>
      </x:c>
      <x:c r="R494" s="24" t="n">
        <x:f>O494*P494*Q494</x:f>
        <x:v>9.952601045966244</x:v>
      </x:c>
      <x:c r="S494" s="24" t="n">
        <x:f>P494*(1-Q494)</x:f>
        <x:v>0.9170616579502813</x:v>
      </x:c>
      <x:c r="T494" s="24" t="n">
        <x:f>O494*S494</x:f>
        <x:v>110.04739895403375</x:v>
      </x:c>
      <x:c r="U494" t="str">
        <x:v>NORTE</x:v>
      </x:c>
      <x:c r="V494" t="str">
        <x:v>Farmacia Norte</x:v>
      </x:c>
      <x:c r="W494" t="str">
        <x:v>Zona Norte</x:v>
      </x:c>
      <x:c r="X494" t="str">
        <x:v>Quito</x:v>
      </x:c>
      <x:c r="Y494" s="32" t="str">
        <x:v>Av. 10 de Agosto N45-20</x:v>
      </x:c>
      <x:c r="Z494" s="22" t="n">
        <x:v>46064</x:v>
      </x:c>
      <x:c r="AA494" t="str">
        <x:v>Recibido</x:v>
      </x:c>
      <x:c r="AB494" t="str">
        <x:v>30 días crédito</x:v>
      </x:c>
      <x:c r="AC494" s="32" t="str"/>
    </x:row>
    <x:row r="495">
      <x:c r="A495" t="n">
        <x:v>494</x:v>
      </x:c>
      <x:c r="B495" s="22" t="n">
        <x:v>45901</x:v>
      </x:c>
      <x:c r="C495" t="str">
        <x:v>OC-2025-0494</x:v>
      </x:c>
      <x:c r="D495" t="str">
        <x:v>F-D003-202509-9307</x:v>
      </x:c>
      <x:c r="E495" t="str">
        <x:v>L2509-003-0494</x:v>
      </x:c>
      <x:c r="F495" t="str">
        <x:v>D003</x:v>
      </x:c>
      <x:c r="G495" s="32" t="str">
        <x:v>FarmaLogística Sierra</x:v>
      </x:c>
      <x:c r="H495" t="str">
        <x:v>MED003</x:v>
      </x:c>
      <x:c r="I495" s="32" t="str">
        <x:v>Amoxicilina 500 mg</x:v>
      </x:c>
      <x:c r="J495" s="32" t="str">
        <x:v>Antibióticos</x:v>
      </x:c>
      <x:c r="K495" s="32" t="str">
        <x:v>Acromax</x:v>
      </x:c>
      <x:c r="L495" s="32" t="str">
        <x:v>Caja x 21 cápsulas</x:v>
      </x:c>
      <x:c r="M495" s="28" t="n">
        <x:v>12</x:v>
      </x:c>
      <x:c r="N495" s="28" t="n">
        <x:v>30</x:v>
      </x:c>
      <x:c r="O495" s="28" t="n">
        <x:f>M495*N495</x:f>
        <x:v>360</x:v>
      </x:c>
      <x:c r="P495" s="24" t="n">
        <x:v>4.2</x:v>
      </x:c>
      <x:c r="Q495" s="26" t="n">
        <x:v>0.030594708255038378</x:v>
      </x:c>
      <x:c r="R495" s="24" t="n">
        <x:f>O495*P495*Q495</x:f>
        <x:v>46.259198881618026</x:v>
      </x:c>
      <x:c r="S495" s="24" t="n">
        <x:f>P495*(1-Q495)</x:f>
        <x:v>4.071502225328839</x:v>
      </x:c>
      <x:c r="T495" s="24" t="n">
        <x:f>O495*S495</x:f>
        <x:v>1465.740801118382</x:v>
      </x:c>
      <x:c r="U495" t="str">
        <x:v>CENTRO</x:v>
      </x:c>
      <x:c r="V495" t="str">
        <x:v>Farmacia Centro Histórico</x:v>
      </x:c>
      <x:c r="W495" t="str">
        <x:v>Zona Centro</x:v>
      </x:c>
      <x:c r="X495" t="str">
        <x:v>Quito</x:v>
      </x:c>
      <x:c r="Y495" s="32" t="str">
        <x:v>Guayaquil y Chile</x:v>
      </x:c>
      <x:c r="Z495" s="22" t="n">
        <x:v>45906</x:v>
      </x:c>
      <x:c r="AA495" t="str">
        <x:v>Recibido</x:v>
      </x:c>
      <x:c r="AB495" t="str">
        <x:v>Contado contra entrega</x:v>
      </x:c>
      <x:c r="AC495" s="32" t="str">
        <x:v>Entrega coordinada fuera de horario regular</x:v>
      </x:c>
    </x:row>
    <x:row r="496">
      <x:c r="A496" t="n">
        <x:v>495</x:v>
      </x:c>
      <x:c r="B496" s="22" t="n">
        <x:v>46239</x:v>
      </x:c>
      <x:c r="C496" t="str">
        <x:v>OC-2026-0495</x:v>
      </x:c>
      <x:c r="D496" t="str">
        <x:v>F-D005-202608-3212</x:v>
      </x:c>
      <x:c r="E496" t="str">
        <x:v>L2608-005-0495</x:v>
      </x:c>
      <x:c r="F496" t="str">
        <x:v>D005</x:v>
      </x:c>
      <x:c r="G496" s="32" t="str">
        <x:v>PharmaExpress Quito</x:v>
      </x:c>
      <x:c r="H496" t="str">
        <x:v>MED005</x:v>
      </x:c>
      <x:c r="I496" s="32" t="str">
        <x:v>Loratadina 10 mg</x:v>
      </x:c>
      <x:c r="J496" s="32" t="str">
        <x:v>Antigripales</x:v>
      </x:c>
      <x:c r="K496" s="32" t="str">
        <x:v>Genfar</x:v>
      </x:c>
      <x:c r="L496" s="32" t="str">
        <x:v>Caja x 10 tabletas</x:v>
      </x:c>
      <x:c r="M496" s="28" t="n">
        <x:v>6</x:v>
      </x:c>
      <x:c r="N496" s="28" t="n">
        <x:v>20</x:v>
      </x:c>
      <x:c r="O496" s="28" t="n">
        <x:f>M496*N496</x:f>
        <x:v>120</x:v>
      </x:c>
      <x:c r="P496" s="24" t="n">
        <x:v>1.11</x:v>
      </x:c>
      <x:c r="Q496" s="26" t="n">
        <x:v>0.07937887899783952</x:v>
      </x:c>
      <x:c r="R496" s="24" t="n">
        <x:f>O496*P496*Q496</x:f>
        <x:v>10.573266682512225</x:v>
      </x:c>
      <x:c r="S496" s="24" t="n">
        <x:f>P496*(1-Q496)</x:f>
        <x:v>1.0218894443123983</x:v>
      </x:c>
      <x:c r="T496" s="24" t="n">
        <x:f>O496*S496</x:f>
        <x:v>122.62673331748779</x:v>
      </x:c>
      <x:c r="U496" t="str">
        <x:v>NORTE</x:v>
      </x:c>
      <x:c r="V496" t="str">
        <x:v>Farmacia Norte</x:v>
      </x:c>
      <x:c r="W496" t="str">
        <x:v>Zona Norte</x:v>
      </x:c>
      <x:c r="X496" t="str">
        <x:v>Quito</x:v>
      </x:c>
      <x:c r="Y496" s="32" t="str">
        <x:v>Av. 10 de Agosto N45-20</x:v>
      </x:c>
      <x:c r="Z496" s="22" t="n">
        <x:v>46240</x:v>
      </x:c>
      <x:c r="AA496" t="str">
        <x:v>Recibido</x:v>
      </x:c>
      <x:c r="AB496" t="str">
        <x:v>30 días crédito</x:v>
      </x:c>
      <x:c r="AC496" s="32" t="str"/>
    </x:row>
    <x:row r="497">
      <x:c r="A497" t="n">
        <x:v>496</x:v>
      </x:c>
      <x:c r="B497" s="22" t="n">
        <x:v>46034</x:v>
      </x:c>
      <x:c r="C497" t="str">
        <x:v>OC-2026-0496</x:v>
      </x:c>
      <x:c r="D497" t="str">
        <x:v>F-D001-202601-8843</x:v>
      </x:c>
      <x:c r="E497" t="str">
        <x:v>L2601-005-0496</x:v>
      </x:c>
      <x:c r="F497" t="str">
        <x:v>D001</x:v>
      </x:c>
      <x:c r="G497" s="32" t="str">
        <x:v>DistriFarma Andina S.A.</x:v>
      </x:c>
      <x:c r="H497" t="str">
        <x:v>MED005</x:v>
      </x:c>
      <x:c r="I497" s="32" t="str">
        <x:v>Loratadina 10 mg</x:v>
      </x:c>
      <x:c r="J497" s="32" t="str">
        <x:v>Antigripales</x:v>
      </x:c>
      <x:c r="K497" s="32" t="str">
        <x:v>Genfar</x:v>
      </x:c>
      <x:c r="L497" s="32" t="str">
        <x:v>Caja x 10 tabletas</x:v>
      </x:c>
      <x:c r="M497" s="28" t="n">
        <x:v>6</x:v>
      </x:c>
      <x:c r="N497" s="28" t="n">
        <x:v>30</x:v>
      </x:c>
      <x:c r="O497" s="28" t="n">
        <x:f>M497*N497</x:f>
        <x:v>180</x:v>
      </x:c>
      <x:c r="P497" s="24" t="n">
        <x:v>1.17</x:v>
      </x:c>
      <x:c r="Q497" s="26" t="n">
        <x:v>0.0838743817424794</x:v>
      </x:c>
      <x:c r="R497" s="24" t="n">
        <x:f>O497*P497*Q497</x:f>
        <x:v>17.66394479496616</x:v>
      </x:c>
      <x:c r="S497" s="24" t="n">
        <x:f>P497*(1-Q497)</x:f>
        <x:v>1.071866973361299</x:v>
      </x:c>
      <x:c r="T497" s="24" t="n">
        <x:f>O497*S497</x:f>
        <x:v>192.93605520503382</x:v>
      </x:c>
      <x:c r="U497" t="str">
        <x:v>SUR</x:v>
      </x:c>
      <x:c r="V497" t="str">
        <x:v>Farmacia del Sur</x:v>
      </x:c>
      <x:c r="W497" t="str">
        <x:v>Zona Sur</x:v>
      </x:c>
      <x:c r="X497" t="str">
        <x:v>Quito</x:v>
      </x:c>
      <x:c r="Y497" s="32" t="str">
        <x:v>Av. Maldonado S25-10</x:v>
      </x:c>
      <x:c r="Z497" s="22" t="n">
        <x:v>46039</x:v>
      </x:c>
      <x:c r="AA497" t="str">
        <x:v>Recibido</x:v>
      </x:c>
      <x:c r="AB497" t="str">
        <x:v>30 días crédito</x:v>
      </x:c>
      <x:c r="AC497" s="32" t="str">
        <x:v>Entrega coordinada fuera de horario regular</x:v>
      </x:c>
    </x:row>
    <x:row r="498">
      <x:c r="A498" t="n">
        <x:v>497</x:v>
      </x:c>
      <x:c r="B498" s="22" t="n">
        <x:v>46144</x:v>
      </x:c>
      <x:c r="C498" t="str">
        <x:v>OC-2026-0497</x:v>
      </x:c>
      <x:c r="D498" t="str">
        <x:v>F-D005-202605-9825</x:v>
      </x:c>
      <x:c r="E498" t="str">
        <x:v>L2605-005-0497</x:v>
      </x:c>
      <x:c r="F498" t="str">
        <x:v>D005</x:v>
      </x:c>
      <x:c r="G498" s="32" t="str">
        <x:v>PharmaExpress Quito</x:v>
      </x:c>
      <x:c r="H498" t="str">
        <x:v>MED005</x:v>
      </x:c>
      <x:c r="I498" s="32" t="str">
        <x:v>Loratadina 10 mg</x:v>
      </x:c>
      <x:c r="J498" s="32" t="str">
        <x:v>Antigripales</x:v>
      </x:c>
      <x:c r="K498" s="32" t="str">
        <x:v>Genfar</x:v>
      </x:c>
      <x:c r="L498" s="32" t="str">
        <x:v>Caja x 10 tabletas</x:v>
      </x:c>
      <x:c r="M498" s="28" t="n">
        <x:v>10</x:v>
      </x:c>
      <x:c r="N498" s="28" t="n">
        <x:v>24</x:v>
      </x:c>
      <x:c r="O498" s="28" t="n">
        <x:f>M498*N498</x:f>
        <x:v>240</x:v>
      </x:c>
      <x:c r="P498" s="24" t="n">
        <x:v>1.18</x:v>
      </x:c>
      <x:c r="Q498" s="26" t="n">
        <x:v>0.06995273902144265</x:v>
      </x:c>
      <x:c r="R498" s="24" t="n">
        <x:f>O498*P498*Q498</x:f>
        <x:v>19.81061569087256</x:v>
      </x:c>
      <x:c r="S498" s="24" t="n">
        <x:f>P498*(1-Q498)</x:f>
        <x:v>1.0974557679546977</x:v>
      </x:c>
      <x:c r="T498" s="24" t="n">
        <x:f>O498*S498</x:f>
        <x:v>263.3893843091274</x:v>
      </x:c>
      <x:c r="U498" t="str">
        <x:v>NORTE</x:v>
      </x:c>
      <x:c r="V498" t="str">
        <x:v>Farmacia Norte</x:v>
      </x:c>
      <x:c r="W498" t="str">
        <x:v>Zona Norte</x:v>
      </x:c>
      <x:c r="X498" t="str">
        <x:v>Quito</x:v>
      </x:c>
      <x:c r="Y498" s="32" t="str">
        <x:v>Av. 10 de Agosto N45-20</x:v>
      </x:c>
      <x:c r="Z498" s="22" t="n">
        <x:v>46148</x:v>
      </x:c>
      <x:c r="AA498" t="str">
        <x:v>Recibido</x:v>
      </x:c>
      <x:c r="AB498" t="str">
        <x:v>30 días crédito</x:v>
      </x:c>
      <x:c r="AC498" s="32" t="str"/>
    </x:row>
    <x:row r="499">
      <x:c r="A499" t="n">
        <x:v>498</x:v>
      </x:c>
      <x:c r="B499" s="22" t="n">
        <x:v>45973</x:v>
      </x:c>
      <x:c r="C499" t="str">
        <x:v>OC-2025-0498</x:v>
      </x:c>
      <x:c r="D499" t="str">
        <x:v>F-D004-202511-8999</x:v>
      </x:c>
      <x:c r="E499" t="str">
        <x:v>L2511-009-0498</x:v>
      </x:c>
      <x:c r="F499" t="str">
        <x:v>D004</x:v>
      </x:c>
      <x:c r="G499" s="32" t="str">
        <x:v>Distribuidora Salud Total</x:v>
      </x:c>
      <x:c r="H499" t="str">
        <x:v>MED009</x:v>
      </x:c>
      <x:c r="I499" s="32" t="str">
        <x:v>Losartán 50 mg</x:v>
      </x:c>
      <x:c r="J499" s="32" t="str">
        <x:v>Cardiovasculares</x:v>
      </x:c>
      <x:c r="K499" s="32" t="str">
        <x:v>Laboratorios Bagó</x:v>
      </x:c>
      <x:c r="L499" s="32" t="str">
        <x:v>Caja x 30 tabletas</x:v>
      </x:c>
      <x:c r="M499" s="28" t="n">
        <x:v>12</x:v>
      </x:c>
      <x:c r="N499" s="28" t="n">
        <x:v>20</x:v>
      </x:c>
      <x:c r="O499" s="28" t="n">
        <x:f>M499*N499</x:f>
        <x:v>240</x:v>
      </x:c>
      <x:c r="P499" s="24" t="n">
        <x:v>3.06</x:v>
      </x:c>
      <x:c r="Q499" s="26" t="n">
        <x:v>0.12019071866662853</x:v>
      </x:c>
      <x:c r="R499" s="24" t="n">
        <x:f>O499*P499*Q499</x:f>
        <x:v>88.268063788772</x:v>
      </x:c>
      <x:c r="S499" s="24" t="n">
        <x:f>P499*(1-Q499)</x:f>
        <x:v>2.692216400880117</x:v>
      </x:c>
      <x:c r="T499" s="24" t="n">
        <x:f>O499*S499</x:f>
        <x:v>646.1319362112281</x:v>
      </x:c>
      <x:c r="U499" t="str">
        <x:v>CENTRO</x:v>
      </x:c>
      <x:c r="V499" t="str">
        <x:v>Farmacia Centro Histórico</x:v>
      </x:c>
      <x:c r="W499" t="str">
        <x:v>Zona Centro</x:v>
      </x:c>
      <x:c r="X499" t="str">
        <x:v>Quito</x:v>
      </x:c>
      <x:c r="Y499" s="32" t="str">
        <x:v>Guayaquil y Chile</x:v>
      </x:c>
      <x:c r="Z499" s="22" t="n">
        <x:v>45977</x:v>
      </x:c>
      <x:c r="AA499" t="str">
        <x:v>Recibido</x:v>
      </x:c>
      <x:c r="AB499" t="str">
        <x:v>45 días crédito</x:v>
      </x:c>
      <x:c r="AC499" s="32" t="str">
        <x:v>Entrega coordinada fuera de horario regular</x:v>
      </x:c>
    </x:row>
    <x:row r="500">
      <x:c r="A500" t="n">
        <x:v>499</x:v>
      </x:c>
      <x:c r="B500" s="22" t="n">
        <x:v>45871</x:v>
      </x:c>
      <x:c r="C500" t="str">
        <x:v>OC-2025-0499</x:v>
      </x:c>
      <x:c r="D500" t="str">
        <x:v>F-D003-202508-5602</x:v>
      </x:c>
      <x:c r="E500" t="str">
        <x:v>L2508-003-0499</x:v>
      </x:c>
      <x:c r="F500" t="str">
        <x:v>D003</x:v>
      </x:c>
      <x:c r="G500" s="32" t="str">
        <x:v>FarmaLogística Sierra</x:v>
      </x:c>
      <x:c r="H500" t="str">
        <x:v>MED003</x:v>
      </x:c>
      <x:c r="I500" s="32" t="str">
        <x:v>Amoxicilina 500 mg</x:v>
      </x:c>
      <x:c r="J500" s="32" t="str">
        <x:v>Antibióticos</x:v>
      </x:c>
      <x:c r="K500" s="32" t="str">
        <x:v>Acromax</x:v>
      </x:c>
      <x:c r="L500" s="32" t="str">
        <x:v>Caja x 21 cápsulas</x:v>
      </x:c>
      <x:c r="M500" s="28" t="n">
        <x:v>4</x:v>
      </x:c>
      <x:c r="N500" s="28" t="n">
        <x:v>50</x:v>
      </x:c>
      <x:c r="O500" s="28" t="n">
        <x:f>M500*N500</x:f>
        <x:v>200</x:v>
      </x:c>
      <x:c r="P500" s="24" t="n">
        <x:v>3.83</x:v>
      </x:c>
      <x:c r="Q500" s="26" t="n">
        <x:v>0.03924642053568044</x:v>
      </x:c>
      <x:c r="R500" s="24" t="n">
        <x:f>O500*P500*Q500</x:f>
        <x:v>30.06275813033122</x:v>
      </x:c>
      <x:c r="S500" s="24" t="n">
        <x:f>P500*(1-Q500)</x:f>
        <x:v>3.6796862093483442</x:v>
      </x:c>
      <x:c r="T500" s="24" t="n">
        <x:f>O500*S500</x:f>
        <x:v>735.9372418696688</x:v>
      </x:c>
      <x:c r="U500" t="str">
        <x:v>VALLE</x:v>
      </x:c>
      <x:c r="V500" t="str">
        <x:v>Farmacia Valle de los Chillos</x:v>
      </x:c>
      <x:c r="W500" t="str">
        <x:v>Zona Valle</x:v>
      </x:c>
      <x:c r="X500" t="str">
        <x:v>Sangolquí</x:v>
      </x:c>
      <x:c r="Y500" s="32" t="str">
        <x:v>Av. Calderón 101</x:v>
      </x:c>
      <x:c r="Z500" s="22" t="n">
        <x:v>45873</x:v>
      </x:c>
      <x:c r="AA500" t="str">
        <x:v>Recibido</x:v>
      </x:c>
      <x:c r="AB500" t="str">
        <x:v>Contado contra entrega</x:v>
      </x:c>
      <x:c r="AC500" s="32" t="str"/>
    </x:row>
    <x:row r="501">
      <x:c r="A501" t="n">
        <x:v>500</x:v>
      </x:c>
      <x:c r="B501" s="22" t="n">
        <x:v>45865</x:v>
      </x:c>
      <x:c r="C501" t="str">
        <x:v>OC-2025-0500</x:v>
      </x:c>
      <x:c r="D501" t="str">
        <x:v>F-D006-202507-8391</x:v>
      </x:c>
      <x:c r="E501" t="str">
        <x:v>L2507-010-0500</x:v>
      </x:c>
      <x:c r="F501" t="str">
        <x:v>D006</x:v>
      </x:c>
      <x:c r="G501" s="32" t="str">
        <x:v>Insumos Médicos del Pacífico</x:v>
      </x:c>
      <x:c r="H501" t="str">
        <x:v>MED010</x:v>
      </x:c>
      <x:c r="I501" s="32" t="str">
        <x:v>Aspirina 100 mg</x:v>
      </x:c>
      <x:c r="J501" s="32" t="str">
        <x:v>Cardiovasculares</x:v>
      </x:c>
      <x:c r="K501" s="32" t="str">
        <x:v>Bayer</x:v>
      </x:c>
      <x:c r="L501" s="32" t="str">
        <x:v>Caja x 30 tabletas</x:v>
      </x:c>
      <x:c r="M501" s="28" t="n">
        <x:v>5</x:v>
      </x:c>
      <x:c r="N501" s="28" t="n">
        <x:v>50</x:v>
      </x:c>
      <x:c r="O501" s="28" t="n">
        <x:f>M501*N501</x:f>
        <x:v>250</x:v>
      </x:c>
      <x:c r="P501" s="24" t="n">
        <x:v>1.68</x:v>
      </x:c>
      <x:c r="Q501" s="26" t="n">
        <x:v>0.13003889279152112</x:v>
      </x:c>
      <x:c r="R501" s="24" t="n">
        <x:f>O501*P501*Q501</x:f>
        <x:v>54.61633497243887</x:v>
      </x:c>
      <x:c r="S501" s="24" t="n">
        <x:f>P501*(1-Q501)</x:f>
        <x:v>1.4615346601102444</x:v>
      </x:c>
      <x:c r="T501" s="24" t="n">
        <x:f>O501*S501</x:f>
        <x:v>365.3836650275611</x:v>
      </x:c>
      <x:c r="U501" t="str">
        <x:v>VALLE</x:v>
      </x:c>
      <x:c r="V501" t="str">
        <x:v>Farmacia Valle de los Chillos</x:v>
      </x:c>
      <x:c r="W501" t="str">
        <x:v>Zona Valle</x:v>
      </x:c>
      <x:c r="X501" t="str">
        <x:v>Sangolquí</x:v>
      </x:c>
      <x:c r="Y501" s="32" t="str">
        <x:v>Av. Calderón 101</x:v>
      </x:c>
      <x:c r="Z501" s="22" t="n">
        <x:v>45866</x:v>
      </x:c>
      <x:c r="AA501" t="str">
        <x:v>Recibido</x:v>
      </x:c>
      <x:c r="AB501" t="str">
        <x:v>60 días crédito</x:v>
      </x:c>
      <x:c r="AC501" s="32" t="str">
        <x:v>Descuento por volumen</x:v>
      </x:c>
    </x:row>
  </x:sheetData>
  <x:conditionalFormatting sqref="Q2:Q501">
    <x:cfRule type="dataBar" priority="1">
      <x:dataBar>
        <x:cfvo type="min"/>
        <x:cfvo type="max"/>
        <x:color rgb="FF63A6D8"/>
      </x:dataBar>
      <x:extLst>
        <x:ext xmlns:x14="http://schemas.microsoft.com/office/spreadsheetml/2009/9/main" uri="{B025F937-C7B1-47D3-B67F-A62EFF666E3E}">
          <x14:id>{1FEB2138-CEE7-8E74-B5D9-93F8E5891FB7}</x14:id>
        </x:ext>
      </x:extLst>
    </x:cfRule>
  </x:conditionalFormatting>
  <x:conditionalFormatting sqref="T2:T501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{F6019016-06DE-62E2-0CEC-8249C2BEE144}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879ea9235b94ff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FEB2138-CEE7-8E74-B5D9-93F8E5891FB7}">
            <x14:dataBar gradient="1">
              <x14:cfvo type="min"/>
              <x14:cfvo type="max"/>
              <x14:fillColor rgb="FF63A6D8"/>
            </x14:dataBar>
          </x14:cfRule>
          <xm:sqref>Q2:Q501</xm:sqref>
        </x14:conditionalFormatting>
        <x14:conditionalFormatting>
          <x14:cfRule type="dataBar" priority="2" id="{F6019016-06DE-62E2-0CEC-8249C2BEE144}">
            <x14:dataBar gradient="1">
              <x14:cfvo type="min"/>
              <x14:cfvo type="max"/>
              <x14:fillColor rgb="FF70AD47"/>
            </x14:dataBar>
          </x14:cfRule>
          <xm:sqref>T2:T501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4" hidden="0" customWidth="1"/>
    <x:col min="5" max="5" width="22" hidden="0" customWidth="1"/>
    <x:col min="6" max="6" width="22" hidden="0" customWidth="1"/>
    <x:col min="7" max="7" width="16" hidden="0" customWidth="1"/>
    <x:col min="8" max="8" width="32" hidden="0" customWidth="1"/>
    <x:col min="9" max="9" width="20" hidden="0" customWidth="1"/>
    <x:col min="10" max="10" width="20" hidden="0" customWidth="1"/>
    <x:col min="11" max="11" width="14" hidden="0" customWidth="1"/>
    <x:col min="12" max="12" width="32" hidden="0" customWidth="1"/>
  </x:cols>
  <x:sheetData>
    <x:row r="1" ht="30" customHeight="1">
      <x:c r="A1" s="6" t="str">
        <x:v>codigo_distribuidor</x:v>
      </x:c>
      <x:c r="B1" s="6" t="str">
        <x:v>distribuidor</x:v>
      </x:c>
      <x:c r="C1" s="6" t="str">
        <x:v>ruc</x:v>
      </x:c>
      <x:c r="D1" s="6" t="str">
        <x:v>ciudad</x:v>
      </x:c>
      <x:c r="E1" s="6" t="str">
        <x:v>contacto_ventas</x:v>
      </x:c>
      <x:c r="F1" s="6" t="str">
        <x:v>cargo</x:v>
      </x:c>
      <x:c r="G1" s="6" t="str">
        <x:v>telefono</x:v>
      </x:c>
      <x:c r="H1" s="6" t="str">
        <x:v>correo</x:v>
      </x:c>
      <x:c r="I1" s="6" t="str">
        <x:v>condicion_pago</x:v>
      </x:c>
      <x:c r="J1" s="6" t="str">
        <x:v>tiempo_entrega_estimado</x:v>
      </x:c>
      <x:c r="K1" s="6" t="str">
        <x:v>descuento_base</x:v>
      </x:c>
      <x:c r="L1" s="6" t="str">
        <x:v>lineas_laboratorio</x:v>
      </x:c>
    </x:row>
    <x:row r="2">
      <x:c r="A2" t="str">
        <x:v>D001</x:v>
      </x:c>
      <x:c r="B2" t="str">
        <x:v>DistriFarma Andina S.A.</x:v>
      </x:c>
      <x:c r="C2" t="str">
        <x:v>1790012345001</x:v>
      </x:c>
      <x:c r="D2" t="str">
        <x:v>Quito</x:v>
      </x:c>
      <x:c r="E2" t="str">
        <x:v>Carolina Almeida</x:v>
      </x:c>
      <x:c r="F2" t="str">
        <x:v>Ejecutiva de cuentas</x:v>
      </x:c>
      <x:c r="G2" t="str">
        <x:v>099 451 7810</x:v>
      </x:c>
      <x:c r="H2" t="str">
        <x:v>calmeida@distrifarma-andina.ec</x:v>
      </x:c>
      <x:c r="I2" t="str">
        <x:v>30 días crédito</x:v>
      </x:c>
      <x:c r="J2" t="str">
        <x:v>48 horas</x:v>
      </x:c>
      <x:c r="K2" s="26" t="n">
        <x:v>0.08</x:v>
      </x:c>
      <x:c r="L2" t="str">
        <x:v>Genfar; La Santé; MEDICAMENTA</x:v>
      </x:c>
    </x:row>
    <x:row r="3">
      <x:c r="A3" t="str">
        <x:v>D002</x:v>
      </x:c>
      <x:c r="B3" t="str">
        <x:v>MedSupply Ecuador Cía. Ltda.</x:v>
      </x:c>
      <x:c r="C3" t="str">
        <x:v>1790024681001</x:v>
      </x:c>
      <x:c r="D3" t="str">
        <x:v>Quito</x:v>
      </x:c>
      <x:c r="E3" t="str">
        <x:v>Andrés Paredes</x:v>
      </x:c>
      <x:c r="F3" t="str">
        <x:v>Asesor comercial</x:v>
      </x:c>
      <x:c r="G3" t="str">
        <x:v>098 322 4571</x:v>
      </x:c>
      <x:c r="H3" t="str">
        <x:v>aparedes@medsupply.ec</x:v>
      </x:c>
      <x:c r="I3" t="str">
        <x:v>15 días crédito</x:v>
      </x:c>
      <x:c r="J3" t="str">
        <x:v>24-48 horas</x:v>
      </x:c>
      <x:c r="K3" s="26" t="n">
        <x:v>0.06</x:v>
      </x:c>
      <x:c r="L3" t="str">
        <x:v>Bayer; Pfizer; Novartis</x:v>
      </x:c>
    </x:row>
    <x:row r="4">
      <x:c r="A4" t="str">
        <x:v>D003</x:v>
      </x:c>
      <x:c r="B4" t="str">
        <x:v>FarmaLogística Sierra</x:v>
      </x:c>
      <x:c r="C4" t="str">
        <x:v>1790035792001</x:v>
      </x:c>
      <x:c r="D4" t="str">
        <x:v>Quito</x:v>
      </x:c>
      <x:c r="E4" t="str">
        <x:v>María José Ruiz</x:v>
      </x:c>
      <x:c r="F4" t="str">
        <x:v>Ventas institucionales</x:v>
      </x:c>
      <x:c r="G4" t="str">
        <x:v>096 811 2204</x:v>
      </x:c>
      <x:c r="H4" t="str">
        <x:v>mruiz@farmalogistica.ec</x:v>
      </x:c>
      <x:c r="I4" t="str">
        <x:v>Contado contra entrega</x:v>
      </x:c>
      <x:c r="J4" t="str">
        <x:v>24 horas</x:v>
      </x:c>
      <x:c r="K4" s="26" t="n">
        <x:v>0.04</x:v>
      </x:c>
      <x:c r="L4" t="str">
        <x:v>Acromax; Genfar; La Santé</x:v>
      </x:c>
    </x:row>
    <x:row r="5">
      <x:c r="A5" t="str">
        <x:v>D004</x:v>
      </x:c>
      <x:c r="B5" t="str">
        <x:v>Distribuidora Salud Total</x:v>
      </x:c>
      <x:c r="C5" t="str">
        <x:v>1790046803001</x:v>
      </x:c>
      <x:c r="D5" t="str">
        <x:v>Sangolquí</x:v>
      </x:c>
      <x:c r="E5" t="str">
        <x:v>Luis Fernando Vega</x:v>
      </x:c>
      <x:c r="F5" t="str">
        <x:v>Coordinador comercial</x:v>
      </x:c>
      <x:c r="G5" t="str">
        <x:v>099 210 3345</x:v>
      </x:c>
      <x:c r="H5" t="str">
        <x:v>lvega@saludtotal-dist.ec</x:v>
      </x:c>
      <x:c r="I5" t="str">
        <x:v>45 días crédito</x:v>
      </x:c>
      <x:c r="J5" t="str">
        <x:v>72 horas</x:v>
      </x:c>
      <x:c r="K5" s="26" t="n">
        <x:v>0.1</x:v>
      </x:c>
      <x:c r="L5" t="str">
        <x:v>Laboratorios Bagó; MEDICAMENTA; Acromax</x:v>
      </x:c>
    </x:row>
    <x:row r="6">
      <x:c r="A6" t="str">
        <x:v>D005</x:v>
      </x:c>
      <x:c r="B6" t="str">
        <x:v>PharmaExpress Quito</x:v>
      </x:c>
      <x:c r="C6" t="str">
        <x:v>1790057914001</x:v>
      </x:c>
      <x:c r="D6" t="str">
        <x:v>Quito</x:v>
      </x:c>
      <x:c r="E6" t="str">
        <x:v>Valeria Cevallos</x:v>
      </x:c>
      <x:c r="F6" t="str">
        <x:v>Key Account Manager</x:v>
      </x:c>
      <x:c r="G6" t="str">
        <x:v>097 545 6890</x:v>
      </x:c>
      <x:c r="H6" t="str">
        <x:v>vcevallos@pharmaexpress.ec</x:v>
      </x:c>
      <x:c r="I6" t="str">
        <x:v>30 días crédito</x:v>
      </x:c>
      <x:c r="J6" t="str">
        <x:v>24 horas</x:v>
      </x:c>
      <x:c r="K6" s="26" t="n">
        <x:v>0.07</x:v>
      </x:c>
      <x:c r="L6" t="str">
        <x:v>Pfizer; Bayer; Novartis; Genfar</x:v>
      </x:c>
    </x:row>
    <x:row r="7">
      <x:c r="A7" t="str">
        <x:v>D006</x:v>
      </x:c>
      <x:c r="B7" t="str">
        <x:v>Insumos Médicos del Pacífico</x:v>
      </x:c>
      <x:c r="C7" t="str">
        <x:v>0991234567001</x:v>
      </x:c>
      <x:c r="D7" t="str">
        <x:v>Guayaquil</x:v>
      </x:c>
      <x:c r="E7" t="str">
        <x:v>Roberto Salazar</x:v>
      </x:c>
      <x:c r="F7" t="str">
        <x:v>Ventas regionales</x:v>
      </x:c>
      <x:c r="G7" t="str">
        <x:v>095 700 1198</x:v>
      </x:c>
      <x:c r="H7" t="str">
        <x:v>rsalazar@impacifico.ec</x:v>
      </x:c>
      <x:c r="I7" t="str">
        <x:v>60 días crédito</x:v>
      </x:c>
      <x:c r="J7" t="str">
        <x:v>96 horas</x:v>
      </x:c>
      <x:c r="K7" s="26" t="n">
        <x:v>0.12</x:v>
      </x:c>
      <x:c r="L7" t="str">
        <x:v>Bayer; La Santé; Laboratorios Bagó</x:v>
      </x:c>
    </x:row>
    <x:row r="8">
      <x:c r="A8" t="str">
        <x:v>D007</x:v>
      </x:c>
      <x:c r="B8" t="str">
        <x:v>Comercializadora BioFarma</x:v>
      </x:c>
      <x:c r="C8" t="str">
        <x:v>1790068025001</x:v>
      </x:c>
      <x:c r="D8" t="str">
        <x:v>Quito</x:v>
      </x:c>
      <x:c r="E8" t="str">
        <x:v>Teresa Mena</x:v>
      </x:c>
      <x:c r="F8" t="str">
        <x:v>Representante de ventas</x:v>
      </x:c>
      <x:c r="G8" t="str">
        <x:v>098 011 7723</x:v>
      </x:c>
      <x:c r="H8" t="str">
        <x:v>tmena@biofarma.ec</x:v>
      </x:c>
      <x:c r="I8" t="str">
        <x:v>15 días crédito</x:v>
      </x:c>
      <x:c r="J8" t="str">
        <x:v>48 horas</x:v>
      </x:c>
      <x:c r="K8" s="26" t="n">
        <x:v>0.05</x:v>
      </x:c>
      <x:c r="L8" t="str">
        <x:v>Acromax; MEDICAMENTA; Novartis</x:v>
      </x:c>
    </x:row>
    <x:row r="9">
      <x:c r="A9" t="str">
        <x:v>D008</x:v>
      </x:c>
      <x:c r="B9" t="str">
        <x:v>Mayorista MedicPlus</x:v>
      </x:c>
      <x:c r="C9" t="str">
        <x:v>1790079136001</x:v>
      </x:c>
      <x:c r="D9" t="str">
        <x:v>Quito</x:v>
      </x:c>
      <x:c r="E9" t="str">
        <x:v>Daniel Ortiz</x:v>
      </x:c>
      <x:c r="F9" t="str">
        <x:v>Jefe de cuentas</x:v>
      </x:c>
      <x:c r="G9" t="str">
        <x:v>096 889 3011</x:v>
      </x:c>
      <x:c r="H9" t="str">
        <x:v>dortiz@medicplus.ec</x:v>
      </x:c>
      <x:c r="I9" t="str">
        <x:v>30 días crédito</x:v>
      </x:c>
      <x:c r="J9" t="str">
        <x:v>24-72 horas</x:v>
      </x:c>
      <x:c r="K9" s="26" t="n">
        <x:v>0.09</x:v>
      </x:c>
      <x:c r="L9" t="str">
        <x:v>Genfar; Pfizer; Laboratorios Bagó; La Santé</x:v>
      </x:c>
    </x:row>
  </x:sheetData>
  <x:pageMargins left="0.7" right="0.7" top="0.75" bottom="0.75" header="0.3" footer="0.3"/>
  <x:tableParts count="1">
    <x:tablePart xmlns:r="http://schemas.openxmlformats.org/officeDocument/2006/relationships" r:id="R6e7eb72238774cd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8" hidden="0" customWidth="1"/>
    <x:col min="4" max="4" width="20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6" t="str">
        <x:v>codigo_medicamento</x:v>
      </x:c>
      <x:c r="B1" s="6" t="str">
        <x:v>medicamento</x:v>
      </x:c>
      <x:c r="C1" s="6" t="str">
        <x:v>categoria</x:v>
      </x:c>
      <x:c r="D1" s="6" t="str">
        <x:v>laboratorio</x:v>
      </x:c>
      <x:c r="E1" s="6" t="str">
        <x:v>presentacion</x:v>
      </x:c>
      <x:c r="F1" s="6" t="str">
        <x:v>costo_base_mysql</x:v>
      </x:c>
      <x:c r="G1" s="6" t="str">
        <x:v>precio_venta_mysql</x:v>
      </x:c>
      <x:c r="H1" s="6" t="str">
        <x:v>margen_referencial</x:v>
      </x:c>
    </x:row>
    <x:row r="2">
      <x:c r="A2" t="str">
        <x:v>MED001</x:v>
      </x:c>
      <x:c r="B2" t="str">
        <x:v>Paracetamol 500 mg</x:v>
      </x:c>
      <x:c r="C2" t="str">
        <x:v>Analgésicos</x:v>
      </x:c>
      <x:c r="D2" t="str">
        <x:v>Genfar</x:v>
      </x:c>
      <x:c r="E2" t="str">
        <x:v>Caja x 20 tabletas</x:v>
      </x:c>
      <x:c r="F2" s="24" t="n">
        <x:v>0.8</x:v>
      </x:c>
      <x:c r="G2" s="24" t="n">
        <x:v>1.6</x:v>
      </x:c>
      <x:c r="H2" s="26" t="n">
        <x:f>(G2-F2)/G2</x:f>
        <x:v>0.5</x:v>
      </x:c>
    </x:row>
    <x:row r="3">
      <x:c r="A3" t="str">
        <x:v>MED002</x:v>
      </x:c>
      <x:c r="B3" t="str">
        <x:v>Ibuprofeno 400 mg</x:v>
      </x:c>
      <x:c r="C3" t="str">
        <x:v>Analgésicos</x:v>
      </x:c>
      <x:c r="D3" t="str">
        <x:v>La Santé</x:v>
      </x:c>
      <x:c r="E3" t="str">
        <x:v>Caja x 20 tabletas</x:v>
      </x:c>
      <x:c r="F3" s="24" t="n">
        <x:v>1.1</x:v>
      </x:c>
      <x:c r="G3" s="24" t="n">
        <x:v>2.2</x:v>
      </x:c>
      <x:c r="H3" s="26" t="n">
        <x:f>(G3-F3)/G3</x:f>
        <x:v>0.5</x:v>
      </x:c>
    </x:row>
    <x:row r="4">
      <x:c r="A4" t="str">
        <x:v>MED003</x:v>
      </x:c>
      <x:c r="B4" t="str">
        <x:v>Amoxicilina 500 mg</x:v>
      </x:c>
      <x:c r="C4" t="str">
        <x:v>Antibióticos</x:v>
      </x:c>
      <x:c r="D4" t="str">
        <x:v>Acromax</x:v>
      </x:c>
      <x:c r="E4" t="str">
        <x:v>Caja x 21 cápsulas</x:v>
      </x:c>
      <x:c r="F4" s="24" t="n">
        <x:v>3.8</x:v>
      </x:c>
      <x:c r="G4" s="24" t="n">
        <x:v>7.5</x:v>
      </x:c>
      <x:c r="H4" s="26" t="n">
        <x:f>(G4-F4)/G4</x:f>
        <x:v>0.49333333333333335</x:v>
      </x:c>
    </x:row>
    <x:row r="5">
      <x:c r="A5" t="str">
        <x:v>MED004</x:v>
      </x:c>
      <x:c r="B5" t="str">
        <x:v>Azitromicina 500 mg</x:v>
      </x:c>
      <x:c r="C5" t="str">
        <x:v>Antibióticos</x:v>
      </x:c>
      <x:c r="D5" t="str">
        <x:v>Pfizer</x:v>
      </x:c>
      <x:c r="E5" t="str">
        <x:v>Caja x 3 tabletas</x:v>
      </x:c>
      <x:c r="F5" s="24" t="n">
        <x:v>4.5</x:v>
      </x:c>
      <x:c r="G5" s="24" t="n">
        <x:v>9.8</x:v>
      </x:c>
      <x:c r="H5" s="26" t="n">
        <x:f>(G5-F5)/G5</x:f>
        <x:v>0.5408163265306123</x:v>
      </x:c>
    </x:row>
    <x:row r="6">
      <x:c r="A6" t="str">
        <x:v>MED005</x:v>
      </x:c>
      <x:c r="B6" t="str">
        <x:v>Loratadina 10 mg</x:v>
      </x:c>
      <x:c r="C6" t="str">
        <x:v>Antigripales</x:v>
      </x:c>
      <x:c r="D6" t="str">
        <x:v>Genfar</x:v>
      </x:c>
      <x:c r="E6" t="str">
        <x:v>Caja x 10 tabletas</x:v>
      </x:c>
      <x:c r="F6" s="24" t="n">
        <x:v>0.95</x:v>
      </x:c>
      <x:c r="G6" s="24" t="n">
        <x:v>2</x:v>
      </x:c>
      <x:c r="H6" s="26" t="n">
        <x:f>(G6-F6)/G6</x:f>
        <x:v>0.525</x:v>
      </x:c>
    </x:row>
    <x:row r="7">
      <x:c r="A7" t="str">
        <x:v>MED006</x:v>
      </x:c>
      <x:c r="B7" t="str">
        <x:v>Vitamina C 1 g</x:v>
      </x:c>
      <x:c r="C7" t="str">
        <x:v>Vitaminas</x:v>
      </x:c>
      <x:c r="D7" t="str">
        <x:v>Novartis</x:v>
      </x:c>
      <x:c r="E7" t="str">
        <x:v>Tubo x 10 efervescentes</x:v>
      </x:c>
      <x:c r="F7" s="24" t="n">
        <x:v>2.2</x:v>
      </x:c>
      <x:c r="G7" s="24" t="n">
        <x:v>4.5</x:v>
      </x:c>
      <x:c r="H7" s="26" t="n">
        <x:f>(G7-F7)/G7</x:f>
        <x:v>0.5111111111111111</x:v>
      </x:c>
    </x:row>
    <x:row r="8">
      <x:c r="A8" t="str">
        <x:v>MED007</x:v>
      </x:c>
      <x:c r="B8" t="str">
        <x:v>Omeprazol 20 mg</x:v>
      </x:c>
      <x:c r="C8" t="str">
        <x:v>Gastrointestinales</x:v>
      </x:c>
      <x:c r="D8" t="str">
        <x:v>La Santé</x:v>
      </x:c>
      <x:c r="E8" t="str">
        <x:v>Caja x 30 cápsulas</x:v>
      </x:c>
      <x:c r="F8" s="24" t="n">
        <x:v>2.7</x:v>
      </x:c>
      <x:c r="G8" s="24" t="n">
        <x:v>5.8</x:v>
      </x:c>
      <x:c r="H8" s="26" t="n">
        <x:f>(G8-F8)/G8</x:f>
        <x:v>0.5344827586206896</x:v>
      </x:c>
    </x:row>
    <x:row r="9">
      <x:c r="A9" t="str">
        <x:v>MED008</x:v>
      </x:c>
      <x:c r="B9" t="str">
        <x:v>Diclofenaco gel</x:v>
      </x:c>
      <x:c r="C9" t="str">
        <x:v>Dermatológicos</x:v>
      </x:c>
      <x:c r="D9" t="str">
        <x:v>Bayer</x:v>
      </x:c>
      <x:c r="E9" t="str">
        <x:v>Tubo 50 g</x:v>
      </x:c>
      <x:c r="F9" s="24" t="n">
        <x:v>1.9</x:v>
      </x:c>
      <x:c r="G9" s="24" t="n">
        <x:v>4.2</x:v>
      </x:c>
      <x:c r="H9" s="26" t="n">
        <x:f>(G9-F9)/G9</x:f>
        <x:v>0.5476190476190477</x:v>
      </x:c>
    </x:row>
    <x:row r="10">
      <x:c r="A10" t="str">
        <x:v>MED009</x:v>
      </x:c>
      <x:c r="B10" t="str">
        <x:v>Losartán 50 mg</x:v>
      </x:c>
      <x:c r="C10" t="str">
        <x:v>Cardiovasculares</x:v>
      </x:c>
      <x:c r="D10" t="str">
        <x:v>Laboratorios Bagó</x:v>
      </x:c>
      <x:c r="E10" t="str">
        <x:v>Caja x 30 tabletas</x:v>
      </x:c>
      <x:c r="F10" s="24" t="n">
        <x:v>2.8</x:v>
      </x:c>
      <x:c r="G10" s="24" t="n">
        <x:v>6.2</x:v>
      </x:c>
      <x:c r="H10" s="26" t="n">
        <x:f>(G10-F10)/G10</x:f>
        <x:v>0.5483870967741936</x:v>
      </x:c>
    </x:row>
    <x:row r="11">
      <x:c r="A11" t="str">
        <x:v>MED010</x:v>
      </x:c>
      <x:c r="B11" t="str">
        <x:v>Aspirina 100 mg</x:v>
      </x:c>
      <x:c r="C11" t="str">
        <x:v>Cardiovasculares</x:v>
      </x:c>
      <x:c r="D11" t="str">
        <x:v>Bayer</x:v>
      </x:c>
      <x:c r="E11" t="str">
        <x:v>Caja x 30 tabletas</x:v>
      </x:c>
      <x:c r="F11" s="24" t="n">
        <x:v>1.5</x:v>
      </x:c>
      <x:c r="G11" s="24" t="n">
        <x:v>3.5</x:v>
      </x:c>
      <x:c r="H11" s="26" t="n">
        <x:f>(G11-F11)/G11</x:f>
        <x:v>0.5714285714285714</x:v>
      </x:c>
    </x:row>
    <x:row r="12">
      <x:c r="A12" t="str">
        <x:v>MED011</x:v>
      </x:c>
      <x:c r="B12" t="str">
        <x:v>Jarabe antigripal</x:v>
      </x:c>
      <x:c r="C12" t="str">
        <x:v>Antigripales</x:v>
      </x:c>
      <x:c r="D12" t="str">
        <x:v>MEDICAMENTA</x:v>
      </x:c>
      <x:c r="E12" t="str">
        <x:v>Frasco 120 ml</x:v>
      </x:c>
      <x:c r="F12" s="24" t="n">
        <x:v>2.6</x:v>
      </x:c>
      <x:c r="G12" s="24" t="n">
        <x:v>5.5</x:v>
      </x:c>
      <x:c r="H12" s="26" t="n">
        <x:f>(G12-F12)/G12</x:f>
        <x:v>0.5272727272727272</x:v>
      </x:c>
    </x:row>
    <x:row r="13">
      <x:c r="A13" t="str">
        <x:v>MED012</x:v>
      </x:c>
      <x:c r="B13" t="str">
        <x:v>Multivitamínico adulto</x:v>
      </x:c>
      <x:c r="C13" t="str">
        <x:v>Vitaminas</x:v>
      </x:c>
      <x:c r="D13" t="str">
        <x:v>Novartis</x:v>
      </x:c>
      <x:c r="E13" t="str">
        <x:v>Frasco x 30 tabletas</x:v>
      </x:c>
      <x:c r="F13" s="24" t="n">
        <x:v>4</x:v>
      </x:c>
      <x:c r="G13" s="24" t="n">
        <x:v>8.9</x:v>
      </x:c>
      <x:c r="H13" s="26" t="n">
        <x:f>(G13-F13)/G13</x:f>
        <x:v>0.550561797752809</x:v>
      </x:c>
    </x:row>
    <x:row r="14">
      <x:c r="A14" t="str">
        <x:v>MED013</x:v>
      </x:c>
      <x:c r="B14" t="str">
        <x:v>Probióticos</x:v>
      </x:c>
      <x:c r="C14" t="str">
        <x:v>Gastrointestinales</x:v>
      </x:c>
      <x:c r="D14" t="str">
        <x:v>Laboratorios Bagó</x:v>
      </x:c>
      <x:c r="E14" t="str">
        <x:v>Caja x 10 sobres</x:v>
      </x:c>
      <x:c r="F14" s="24" t="n">
        <x:v>5.2</x:v>
      </x:c>
      <x:c r="G14" s="24" t="n">
        <x:v>11.5</x:v>
      </x:c>
      <x:c r="H14" s="26" t="n">
        <x:f>(G14-F14)/G14</x:f>
        <x:v>0.5478260869565217</x:v>
      </x:c>
    </x:row>
    <x:row r="15">
      <x:c r="A15" t="str">
        <x:v>MED014</x:v>
      </x:c>
      <x:c r="B15" t="str">
        <x:v>Crema antimicótica</x:v>
      </x:c>
      <x:c r="C15" t="str">
        <x:v>Dermatológicos</x:v>
      </x:c>
      <x:c r="D15" t="str">
        <x:v>Acromax</x:v>
      </x:c>
      <x:c r="E15" t="str">
        <x:v>Tubo 30 g</x:v>
      </x:c>
      <x:c r="F15" s="24" t="n">
        <x:v>2.1</x:v>
      </x:c>
      <x:c r="G15" s="24" t="n">
        <x:v>4.8</x:v>
      </x:c>
      <x:c r="H15" s="26" t="n">
        <x:f>(G15-F15)/G15</x:f>
        <x:v>0.5625</x:v>
      </x:c>
    </x:row>
    <x:row r="16">
      <x:c r="A16" t="str">
        <x:v>MED015</x:v>
      </x:c>
      <x:c r="B16" t="str">
        <x:v>Producto descontinuado</x:v>
      </x:c>
      <x:c r="C16" t="str">
        <x:v>Vitaminas</x:v>
      </x:c>
      <x:c r="D16" t="str">
        <x:v>MEDICAMENTA</x:v>
      </x:c>
      <x:c r="E16" t="str">
        <x:v>Caja x 20</x:v>
      </x:c>
      <x:c r="F16" s="24" t="n">
        <x:v>6</x:v>
      </x:c>
      <x:c r="G16" s="24" t="n">
        <x:v>12</x:v>
      </x:c>
      <x:c r="H16" s="26" t="n">
        <x:f>(G16-F16)/G16</x:f>
        <x:v>0.5</x:v>
      </x:c>
    </x:row>
  </x:sheetData>
  <x:pageMargins left="0.7" right="0.7" top="0.75" bottom="0.75" header="0.3" footer="0.3"/>
  <x:tableParts count="1">
    <x:tablePart xmlns:r="http://schemas.openxmlformats.org/officeDocument/2006/relationships" r:id="R4b7b3f78b6ab43e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</x:cols>
  <x:sheetData>
    <x:row r="1">
      <x:c r="A1" s="3" t="str">
        <x:v>Archivo fuente Excel de compras de medicamentos</x:v>
      </x:c>
      <x:c r="B1" s="3" t="str"/>
      <x:c r="D1" s="16" t="str">
        <x:v>Mes</x:v>
      </x:c>
      <x:c r="E1" s="16" t="str">
        <x:v>Total compra neto</x:v>
      </x:c>
      <x:c r="F1" s="16" t="str">
        <x:v>Unidades compradas</x:v>
      </x:c>
      <x:c r="G1" s="16" t="str">
        <x:v>Descuento promedio</x:v>
      </x:c>
      <x:c r="H1" s="16" t="str">
        <x:v>Compras</x:v>
      </x:c>
      <x:c r="J1" s="6" t="str">
        <x:v>Mes 2026</x:v>
      </x:c>
      <x:c r="K1" s="6" t="str">
        <x:v>Compra 2026</x:v>
      </x:c>
      <x:c r="L1" s="6" t="str">
        <x:v>Mismo mes 2025</x:v>
      </x:c>
      <x:c r="M1" s="6" t="str">
        <x:v>Variación absoluta</x:v>
      </x:c>
      <x:c r="N1" s="6" t="str">
        <x:v>Variación %</x:v>
      </x:c>
    </x:row>
    <x:row r="2">
      <x:c r="A2" t="str">
        <x:v>Registros de compras</x:v>
      </x:c>
      <x:c r="B2" t="n">
        <x:f>COUNTA(Compras_2025_2026!A2:A501)</x:f>
        <x:v>500</x:v>
      </x:c>
      <x:c r="D2" s="30" t="n">
        <x:v>45658</x:v>
      </x:c>
      <x:c r="E2" s="24" t="n">
        <x:f>SUMIFS(Compras_2025_2026!$T$2:$T$501,Compras_2025_2026!$B$2:$B$501,"&gt;="&amp;D2,Compras_2025_2026!$B$2:$B$501,"&lt;"&amp;EDATE(D2,1))</x:f>
        <x:v>7570.978013439709</x:v>
      </x:c>
      <x:c r="F2" s="28" t="n">
        <x:f>SUMIFS(Compras_2025_2026!$O$2:$O$501,Compras_2025_2026!$B$2:$B$501,"&gt;="&amp;D2,Compras_2025_2026!$B$2:$B$501,"&lt;"&amp;EDATE(D2,1))</x:f>
        <x:v>3072</x:v>
      </x:c>
      <x:c r="G2" s="26" t="n">
        <x:f>IFERROR(AVERAGEIFS(Compras_2025_2026!$Q$2:$Q$501,Compras_2025_2026!$B$2:$B$501,"&gt;="&amp;D2,Compras_2025_2026!$B$2:$B$501,"&lt;"&amp;EDATE(D2,1)),0)</x:f>
        <x:v>0.08910668724649937</x:v>
      </x:c>
      <x:c r="H2" t="n">
        <x:f>COUNTIFS(Compras_2025_2026!$B$2:$B$501,"&gt;="&amp;D2,Compras_2025_2026!$B$2:$B$501,"&lt;"&amp;EDATE(D2,1))</x:f>
        <x:v>15</x:v>
      </x:c>
      <x:c r="J2" s="30" t="n">
        <x:v>46023</x:v>
      </x:c>
      <x:c r="K2" s="24" t="n">
        <x:f>SUMIFS(Compras_2025_2026!$T$2:$T$501,Compras_2025_2026!$B$2:$B$501,"&gt;="&amp;J2,Compras_2025_2026!$B$2:$B$501,"&lt;"&amp;EDATE(J2,1))</x:f>
        <x:v>12329.332015487977</x:v>
      </x:c>
      <x:c r="L2" s="24" t="n">
        <x:f>SUMIFS(Compras_2025_2026!$T$2:$T$501,Compras_2025_2026!$B$2:$B$501,"&gt;="&amp;EDATE(J2,-12),Compras_2025_2026!$B$2:$B$501,"&lt;"&amp;EDATE(J2,-11))</x:f>
        <x:v>7570.978013439709</x:v>
      </x:c>
      <x:c r="M2" s="24" t="n">
        <x:f>K2-L2</x:f>
        <x:v>4758.354002048268</x:v>
      </x:c>
      <x:c r="N2" s="26" t="n">
        <x:f>IFERROR(M2/L2,0)</x:f>
        <x:v>0.6284992498461125</x:v>
      </x:c>
    </x:row>
    <x:row r="3">
      <x:c r="A3" t="str">
        <x:v>Período inicial</x:v>
      </x:c>
      <x:c r="B3" s="22" t="n">
        <x:f>MIN(Compras_2025_2026!B2:B501)</x:f>
        <x:v>45659</x:v>
      </x:c>
      <x:c r="D3" s="30" t="n">
        <x:v>45689</x:v>
      </x:c>
      <x:c r="E3" s="24" t="n">
        <x:f>SUMIFS(Compras_2025_2026!$T$2:$T$501,Compras_2025_2026!$B$2:$B$501,"&gt;="&amp;D3,Compras_2025_2026!$B$2:$B$501,"&lt;"&amp;EDATE(D3,1))</x:f>
        <x:v>8320.639522182233</x:v>
      </x:c>
      <x:c r="F3" s="28" t="n">
        <x:f>SUMIFS(Compras_2025_2026!$O$2:$O$501,Compras_2025_2026!$B$2:$B$501,"&gt;="&amp;D3,Compras_2025_2026!$B$2:$B$501,"&lt;"&amp;EDATE(D3,1))</x:f>
        <x:v>4092</x:v>
      </x:c>
      <x:c r="G3" s="26" t="n">
        <x:f>IFERROR(AVERAGEIFS(Compras_2025_2026!$Q$2:$Q$501,Compras_2025_2026!$B$2:$B$501,"&gt;="&amp;D3,Compras_2025_2026!$B$2:$B$501,"&lt;"&amp;EDATE(D3,1)),0)</x:f>
        <x:v>0.08770999076665385</x:v>
      </x:c>
      <x:c r="H3" t="n">
        <x:f>COUNTIFS(Compras_2025_2026!$B$2:$B$501,"&gt;="&amp;D3,Compras_2025_2026!$B$2:$B$501,"&lt;"&amp;EDATE(D3,1))</x:f>
        <x:v>15</x:v>
      </x:c>
      <x:c r="J3" s="30" t="n">
        <x:v>46054</x:v>
      </x:c>
      <x:c r="K3" s="24" t="n">
        <x:f>SUMIFS(Compras_2025_2026!$T$2:$T$501,Compras_2025_2026!$B$2:$B$501,"&gt;="&amp;J3,Compras_2025_2026!$B$2:$B$501,"&lt;"&amp;EDATE(J3,1))</x:f>
        <x:v>8262.615631409266</x:v>
      </x:c>
      <x:c r="L3" s="24" t="n">
        <x:f>SUMIFS(Compras_2025_2026!$T$2:$T$501,Compras_2025_2026!$B$2:$B$501,"&gt;="&amp;EDATE(J3,-12),Compras_2025_2026!$B$2:$B$501,"&lt;"&amp;EDATE(J3,-11))</x:f>
        <x:v>8320.639522182233</x:v>
      </x:c>
      <x:c r="M3" s="24" t="n">
        <x:f>K3-L3</x:f>
        <x:v>-58.023890772967206</x:v>
      </x:c>
      <x:c r="N3" s="26" t="n">
        <x:f>IFERROR(M3/L3,0)</x:f>
        <x:v>-0.006973489311522227</x:v>
      </x:c>
    </x:row>
    <x:row r="4">
      <x:c r="A4" t="str">
        <x:v>Período final</x:v>
      </x:c>
      <x:c r="B4" s="22" t="n">
        <x:f>MAX(Compras_2025_2026!B2:B501)</x:f>
        <x:v>46385</x:v>
      </x:c>
      <x:c r="D4" s="30" t="n">
        <x:v>45717</x:v>
      </x:c>
      <x:c r="E4" s="24" t="n">
        <x:f>SUMIFS(Compras_2025_2026!$T$2:$T$501,Compras_2025_2026!$B$2:$B$501,"&gt;="&amp;D4,Compras_2025_2026!$B$2:$B$501,"&lt;"&amp;EDATE(D4,1))</x:f>
        <x:v>9733.404642725696</x:v>
      </x:c>
      <x:c r="F4" s="28" t="n">
        <x:f>SUMIFS(Compras_2025_2026!$O$2:$O$501,Compras_2025_2026!$B$2:$B$501,"&gt;="&amp;D4,Compras_2025_2026!$B$2:$B$501,"&lt;"&amp;EDATE(D4,1))</x:f>
        <x:v>3298</x:v>
      </x:c>
      <x:c r="G4" s="26" t="n">
        <x:f>IFERROR(AVERAGEIFS(Compras_2025_2026!$Q$2:$Q$501,Compras_2025_2026!$B$2:$B$501,"&gt;="&amp;D4,Compras_2025_2026!$B$2:$B$501,"&lt;"&amp;EDATE(D4,1)),0)</x:f>
        <x:v>0.10528009544444333</x:v>
      </x:c>
      <x:c r="H4" t="n">
        <x:f>COUNTIFS(Compras_2025_2026!$B$2:$B$501,"&gt;="&amp;D4,Compras_2025_2026!$B$2:$B$501,"&lt;"&amp;EDATE(D4,1))</x:f>
        <x:v>13</x:v>
      </x:c>
      <x:c r="J4" s="30" t="n">
        <x:v>46082</x:v>
      </x:c>
      <x:c r="K4" s="24" t="n">
        <x:f>SUMIFS(Compras_2025_2026!$T$2:$T$501,Compras_2025_2026!$B$2:$B$501,"&gt;="&amp;J4,Compras_2025_2026!$B$2:$B$501,"&lt;"&amp;EDATE(J4,1))</x:f>
        <x:v>11815.584709990986</x:v>
      </x:c>
      <x:c r="L4" s="24" t="n">
        <x:f>SUMIFS(Compras_2025_2026!$T$2:$T$501,Compras_2025_2026!$B$2:$B$501,"&gt;="&amp;EDATE(J4,-12),Compras_2025_2026!$B$2:$B$501,"&lt;"&amp;EDATE(J4,-11))</x:f>
        <x:v>9733.404642725696</x:v>
      </x:c>
      <x:c r="M4" s="24" t="n">
        <x:f>K4-L4</x:f>
        <x:v>2082.18006726529</x:v>
      </x:c>
      <x:c r="N4" s="26" t="n">
        <x:f>IFERROR(M4/L4,0)</x:f>
        <x:v>0.21392104239922013</x:v>
      </x:c>
    </x:row>
    <x:row r="5">
      <x:c r="A5" t="str">
        <x:v>Total comprado neto</x:v>
      </x:c>
      <x:c r="B5" s="24" t="n">
        <x:f>SUM(Compras_2025_2026!T2:T501)</x:f>
        <x:v>307470.1170483759</x:v>
      </x:c>
      <x:c r="D5" s="30" t="n">
        <x:v>45748</x:v>
      </x:c>
      <x:c r="E5" s="24" t="n">
        <x:f>SUMIFS(Compras_2025_2026!$T$2:$T$501,Compras_2025_2026!$B$2:$B$501,"&gt;="&amp;D5,Compras_2025_2026!$B$2:$B$501,"&lt;"&amp;EDATE(D5,1))</x:f>
        <x:v>21549.04857177684</x:v>
      </x:c>
      <x:c r="F5" s="28" t="n">
        <x:f>SUMIFS(Compras_2025_2026!$O$2:$O$501,Compras_2025_2026!$B$2:$B$501,"&gt;="&amp;D5,Compras_2025_2026!$B$2:$B$501,"&lt;"&amp;EDATE(D5,1))</x:f>
        <x:v>7990</x:v>
      </x:c>
      <x:c r="G5" s="26" t="n">
        <x:f>IFERROR(AVERAGEIFS(Compras_2025_2026!$Q$2:$Q$501,Compras_2025_2026!$B$2:$B$501,"&gt;="&amp;D5,Compras_2025_2026!$B$2:$B$501,"&lt;"&amp;EDATE(D5,1)),0)</x:f>
        <x:v>0.08190073110946991</x:v>
      </x:c>
      <x:c r="H5" t="n">
        <x:f>COUNTIFS(Compras_2025_2026!$B$2:$B$501,"&gt;="&amp;D5,Compras_2025_2026!$B$2:$B$501,"&lt;"&amp;EDATE(D5,1))</x:f>
        <x:v>27</x:v>
      </x:c>
      <x:c r="J5" s="30" t="n">
        <x:v>46113</x:v>
      </x:c>
      <x:c r="K5" s="24" t="n">
        <x:f>SUMIFS(Compras_2025_2026!$T$2:$T$501,Compras_2025_2026!$B$2:$B$501,"&gt;="&amp;J5,Compras_2025_2026!$B$2:$B$501,"&lt;"&amp;EDATE(J5,1))</x:f>
        <x:v>13065.0442089049</x:v>
      </x:c>
      <x:c r="L5" s="24" t="n">
        <x:f>SUMIFS(Compras_2025_2026!$T$2:$T$501,Compras_2025_2026!$B$2:$B$501,"&gt;="&amp;EDATE(J5,-12),Compras_2025_2026!$B$2:$B$501,"&lt;"&amp;EDATE(J5,-11))</x:f>
        <x:v>21549.04857177684</x:v>
      </x:c>
      <x:c r="M5" s="24" t="n">
        <x:f>K5-L5</x:f>
        <x:v>-8484.00436287194</x:v>
      </x:c>
      <x:c r="N5" s="26" t="n">
        <x:f>IFERROR(M5/L5,0)</x:f>
        <x:v>-0.3937066796528357</x:v>
      </x:c>
    </x:row>
    <x:row r="6">
      <x:c r="A6" t="str">
        <x:v>Descuento promedio</x:v>
      </x:c>
      <x:c r="B6" s="26" t="n">
        <x:f>AVERAGE(Compras_2025_2026!Q2:Q501)</x:f>
        <x:v>0.08722357864141976</x:v>
      </x:c>
      <x:c r="D6" s="30" t="n">
        <x:v>45778</x:v>
      </x:c>
      <x:c r="E6" s="24" t="n">
        <x:f>SUMIFS(Compras_2025_2026!$T$2:$T$501,Compras_2025_2026!$B$2:$B$501,"&gt;="&amp;D6,Compras_2025_2026!$B$2:$B$501,"&lt;"&amp;EDATE(D6,1))</x:f>
        <x:v>11448.219788964163</x:v>
      </x:c>
      <x:c r="F6" s="28" t="n">
        <x:f>SUMIFS(Compras_2025_2026!$O$2:$O$501,Compras_2025_2026!$B$2:$B$501,"&gt;="&amp;D6,Compras_2025_2026!$B$2:$B$501,"&lt;"&amp;EDATE(D6,1))</x:f>
        <x:v>5452</x:v>
      </x:c>
      <x:c r="G6" s="26" t="n">
        <x:f>IFERROR(AVERAGEIFS(Compras_2025_2026!$Q$2:$Q$501,Compras_2025_2026!$B$2:$B$501,"&gt;="&amp;D6,Compras_2025_2026!$B$2:$B$501,"&lt;"&amp;EDATE(D6,1)),0)</x:f>
        <x:v>0.08823237514457734</x:v>
      </x:c>
      <x:c r="H6" t="n">
        <x:f>COUNTIFS(Compras_2025_2026!$B$2:$B$501,"&gt;="&amp;D6,Compras_2025_2026!$B$2:$B$501,"&lt;"&amp;EDATE(D6,1))</x:f>
        <x:v>16</x:v>
      </x:c>
      <x:c r="J6" s="30" t="n">
        <x:v>46143</x:v>
      </x:c>
      <x:c r="K6" s="24" t="n">
        <x:f>SUMIFS(Compras_2025_2026!$T$2:$T$501,Compras_2025_2026!$B$2:$B$501,"&gt;="&amp;J6,Compras_2025_2026!$B$2:$B$501,"&lt;"&amp;EDATE(J6,1))</x:f>
        <x:v>16940.969735377636</x:v>
      </x:c>
      <x:c r="L6" s="24" t="n">
        <x:f>SUMIFS(Compras_2025_2026!$T$2:$T$501,Compras_2025_2026!$B$2:$B$501,"&gt;="&amp;EDATE(J6,-12),Compras_2025_2026!$B$2:$B$501,"&lt;"&amp;EDATE(J6,-11))</x:f>
        <x:v>11448.219788964163</x:v>
      </x:c>
      <x:c r="M6" s="24" t="n">
        <x:f>K6-L6</x:f>
        <x:v>5492.749946413473</x:v>
      </x:c>
      <x:c r="N6" s="26" t="n">
        <x:f>IFERROR(M6/L6,0)</x:f>
        <x:v>0.4797907489257295</x:v>
      </x:c>
    </x:row>
    <x:row r="7">
      <x:c r="A7" t="str">
        <x:v>Unidades compradas</x:v>
      </x:c>
      <x:c r="B7" s="28" t="n">
        <x:f>SUM(Compras_2025_2026!O2:O501)</x:f>
        <x:v>142090</x:v>
      </x:c>
      <x:c r="D7" s="30" t="n">
        <x:v>45809</x:v>
      </x:c>
      <x:c r="E7" s="24" t="n">
        <x:f>SUMIFS(Compras_2025_2026!$T$2:$T$501,Compras_2025_2026!$B$2:$B$501,"&gt;="&amp;D7,Compras_2025_2026!$B$2:$B$501,"&lt;"&amp;EDATE(D7,1))</x:f>
        <x:v>18670.991943306068</x:v>
      </x:c>
      <x:c r="F7" s="28" t="n">
        <x:f>SUMIFS(Compras_2025_2026!$O$2:$O$501,Compras_2025_2026!$B$2:$B$501,"&gt;="&amp;D7,Compras_2025_2026!$B$2:$B$501,"&lt;"&amp;EDATE(D7,1))</x:f>
        <x:v>8352</x:v>
      </x:c>
      <x:c r="G7" s="26" t="n">
        <x:f>IFERROR(AVERAGEIFS(Compras_2025_2026!$Q$2:$Q$501,Compras_2025_2026!$B$2:$B$501,"&gt;="&amp;D7,Compras_2025_2026!$B$2:$B$501,"&lt;"&amp;EDATE(D7,1)),0)</x:f>
        <x:v>0.08843964657873585</x:v>
      </x:c>
      <x:c r="H7" t="n">
        <x:f>COUNTIFS(Compras_2025_2026!$B$2:$B$501,"&gt;="&amp;D7,Compras_2025_2026!$B$2:$B$501,"&lt;"&amp;EDATE(D7,1))</x:f>
        <x:v>30</x:v>
      </x:c>
      <x:c r="J7" s="30" t="n">
        <x:v>46174</x:v>
      </x:c>
      <x:c r="K7" s="24" t="n">
        <x:f>SUMIFS(Compras_2025_2026!$T$2:$T$501,Compras_2025_2026!$B$2:$B$501,"&gt;="&amp;J7,Compras_2025_2026!$B$2:$B$501,"&lt;"&amp;EDATE(J7,1))</x:f>
        <x:v>12339.98965070673</x:v>
      </x:c>
      <x:c r="L7" s="24" t="n">
        <x:f>SUMIFS(Compras_2025_2026!$T$2:$T$501,Compras_2025_2026!$B$2:$B$501,"&gt;="&amp;EDATE(J7,-12),Compras_2025_2026!$B$2:$B$501,"&lt;"&amp;EDATE(J7,-11))</x:f>
        <x:v>18670.991943306068</x:v>
      </x:c>
      <x:c r="M7" s="24" t="n">
        <x:f>K7-L7</x:f>
        <x:v>-6331.002292599338</x:v>
      </x:c>
      <x:c r="N7" s="26" t="n">
        <x:f>IFERROR(M7/L7,0)</x:f>
        <x:v>-0.3390822679278768</x:v>
      </x:c>
    </x:row>
    <x:row r="8">
      <x:c r="A8" t="str">
        <x:v>Distribuidores registrados</x:v>
      </x:c>
      <x:c r="B8" t="n">
        <x:f>COUNTA(Distribuidores!A2:A9)</x:f>
        <x:v>8</x:v>
      </x:c>
      <x:c r="D8" s="30" t="n">
        <x:v>45839</x:v>
      </x:c>
      <x:c r="E8" s="24" t="n">
        <x:f>SUMIFS(Compras_2025_2026!$T$2:$T$501,Compras_2025_2026!$B$2:$B$501,"&gt;="&amp;D8,Compras_2025_2026!$B$2:$B$501,"&lt;"&amp;EDATE(D8,1))</x:f>
        <x:v>9022.714948118779</x:v>
      </x:c>
      <x:c r="F8" s="28" t="n">
        <x:f>SUMIFS(Compras_2025_2026!$O$2:$O$501,Compras_2025_2026!$B$2:$B$501,"&gt;="&amp;D8,Compras_2025_2026!$B$2:$B$501,"&lt;"&amp;EDATE(D8,1))</x:f>
        <x:v>4318</x:v>
      </x:c>
      <x:c r="G8" s="26" t="n">
        <x:f>IFERROR(AVERAGEIFS(Compras_2025_2026!$Q$2:$Q$501,Compras_2025_2026!$B$2:$B$501,"&gt;="&amp;D8,Compras_2025_2026!$B$2:$B$501,"&lt;"&amp;EDATE(D8,1)),0)</x:f>
        <x:v>0.09912990419721561</x:v>
      </x:c>
      <x:c r="H8" t="n">
        <x:f>COUNTIFS(Compras_2025_2026!$B$2:$B$501,"&gt;="&amp;D8,Compras_2025_2026!$B$2:$B$501,"&lt;"&amp;EDATE(D8,1))</x:f>
        <x:v>15</x:v>
      </x:c>
      <x:c r="J8" s="30" t="n">
        <x:v>46204</x:v>
      </x:c>
      <x:c r="K8" s="24" t="n">
        <x:f>SUMIFS(Compras_2025_2026!$T$2:$T$501,Compras_2025_2026!$B$2:$B$501,"&gt;="&amp;J8,Compras_2025_2026!$B$2:$B$501,"&lt;"&amp;EDATE(J8,1))</x:f>
        <x:v>18589.87270398716</x:v>
      </x:c>
      <x:c r="L8" s="24" t="n">
        <x:f>SUMIFS(Compras_2025_2026!$T$2:$T$501,Compras_2025_2026!$B$2:$B$501,"&gt;="&amp;EDATE(J8,-12),Compras_2025_2026!$B$2:$B$501,"&lt;"&amp;EDATE(J8,-11))</x:f>
        <x:v>9022.714948118779</x:v>
      </x:c>
      <x:c r="M8" s="24" t="n">
        <x:f>K8-L8</x:f>
        <x:v>9567.15775586838</x:v>
      </x:c>
      <x:c r="N8" s="26" t="n">
        <x:f>IFERROR(M8/L8,0)</x:f>
        <x:v>1.060341350788558</x:v>
      </x:c>
    </x:row>
    <x:row r="9">
      <x:c r="D9" s="30" t="n">
        <x:v>45870</x:v>
      </x:c>
      <x:c r="E9" s="24" t="n">
        <x:f>SUMIFS(Compras_2025_2026!$T$2:$T$501,Compras_2025_2026!$B$2:$B$501,"&gt;="&amp;D9,Compras_2025_2026!$B$2:$B$501,"&lt;"&amp;EDATE(D9,1))</x:f>
        <x:v>10905.543814276518</x:v>
      </x:c>
      <x:c r="F9" s="28" t="n">
        <x:f>SUMIFS(Compras_2025_2026!$O$2:$O$501,Compras_2025_2026!$B$2:$B$501,"&gt;="&amp;D9,Compras_2025_2026!$B$2:$B$501,"&lt;"&amp;EDATE(D9,1))</x:f>
        <x:v>5190</x:v>
      </x:c>
      <x:c r="G9" s="26" t="n">
        <x:f>IFERROR(AVERAGEIFS(Compras_2025_2026!$Q$2:$Q$501,Compras_2025_2026!$B$2:$B$501,"&gt;="&amp;D9,Compras_2025_2026!$B$2:$B$501,"&lt;"&amp;EDATE(D9,1)),0)</x:f>
        <x:v>0.07791949828117442</x:v>
      </x:c>
      <x:c r="H9" t="n">
        <x:f>COUNTIFS(Compras_2025_2026!$B$2:$B$501,"&gt;="&amp;D9,Compras_2025_2026!$B$2:$B$501,"&lt;"&amp;EDATE(D9,1))</x:f>
        <x:v>24</x:v>
      </x:c>
      <x:c r="J9" s="30" t="n">
        <x:v>46235</x:v>
      </x:c>
      <x:c r="K9" s="24" t="n">
        <x:f>SUMIFS(Compras_2025_2026!$T$2:$T$501,Compras_2025_2026!$B$2:$B$501,"&gt;="&amp;J9,Compras_2025_2026!$B$2:$B$501,"&lt;"&amp;EDATE(J9,1))</x:f>
        <x:v>13683.506514394574</x:v>
      </x:c>
      <x:c r="L9" s="24" t="n">
        <x:f>SUMIFS(Compras_2025_2026!$T$2:$T$501,Compras_2025_2026!$B$2:$B$501,"&gt;="&amp;EDATE(J9,-12),Compras_2025_2026!$B$2:$B$501,"&lt;"&amp;EDATE(J9,-11))</x:f>
        <x:v>10905.543814276518</x:v>
      </x:c>
      <x:c r="M9" s="24" t="n">
        <x:f>K9-L9</x:f>
        <x:v>2777.962700118056</x:v>
      </x:c>
      <x:c r="N9" s="26" t="n">
        <x:f>IFERROR(M9/L9,0)</x:f>
        <x:v>0.25472940620177115</x:v>
      </x:c>
    </x:row>
    <x:row r="10">
      <x:c r="D10" s="30" t="n">
        <x:v>45901</x:v>
      </x:c>
      <x:c r="E10" s="24" t="n">
        <x:f>SUMIFS(Compras_2025_2026!$T$2:$T$501,Compras_2025_2026!$B$2:$B$501,"&gt;="&amp;D10,Compras_2025_2026!$B$2:$B$501,"&lt;"&amp;EDATE(D10,1))</x:f>
        <x:v>12774.01733895896</x:v>
      </x:c>
      <x:c r="F10" s="28" t="n">
        <x:f>SUMIFS(Compras_2025_2026!$O$2:$O$501,Compras_2025_2026!$B$2:$B$501,"&gt;="&amp;D10,Compras_2025_2026!$B$2:$B$501,"&lt;"&amp;EDATE(D10,1))</x:f>
        <x:v>5612</x:v>
      </x:c>
      <x:c r="G10" s="26" t="n">
        <x:f>IFERROR(AVERAGEIFS(Compras_2025_2026!$Q$2:$Q$501,Compras_2025_2026!$B$2:$B$501,"&gt;="&amp;D10,Compras_2025_2026!$B$2:$B$501,"&lt;"&amp;EDATE(D10,1)),0)</x:f>
        <x:v>0.07521707216417566</x:v>
      </x:c>
      <x:c r="H10" t="n">
        <x:f>COUNTIFS(Compras_2025_2026!$B$2:$B$501,"&gt;="&amp;D10,Compras_2025_2026!$B$2:$B$501,"&lt;"&amp;EDATE(D10,1))</x:f>
        <x:v>25</x:v>
      </x:c>
      <x:c r="J10" s="30" t="n">
        <x:v>46266</x:v>
      </x:c>
      <x:c r="K10" s="24" t="n">
        <x:f>SUMIFS(Compras_2025_2026!$T$2:$T$501,Compras_2025_2026!$B$2:$B$501,"&gt;="&amp;J10,Compras_2025_2026!$B$2:$B$501,"&lt;"&amp;EDATE(J10,1))</x:f>
        <x:v>16100.005895568358</x:v>
      </x:c>
      <x:c r="L10" s="24" t="n">
        <x:f>SUMIFS(Compras_2025_2026!$T$2:$T$501,Compras_2025_2026!$B$2:$B$501,"&gt;="&amp;EDATE(J10,-12),Compras_2025_2026!$B$2:$B$501,"&lt;"&amp;EDATE(J10,-11))</x:f>
        <x:v>12774.01733895896</x:v>
      </x:c>
      <x:c r="M10" s="24" t="n">
        <x:f>K10-L10</x:f>
        <x:v>3325.988556609398</x:v>
      </x:c>
      <x:c r="N10" s="26" t="n">
        <x:f>IFERROR(M10/L10,0)</x:f>
        <x:v>0.260371382655447</x:v>
      </x:c>
    </x:row>
    <x:row r="11">
      <x:c r="D11" s="30" t="n">
        <x:v>45931</x:v>
      </x:c>
      <x:c r="E11" s="24" t="n">
        <x:f>SUMIFS(Compras_2025_2026!$T$2:$T$501,Compras_2025_2026!$B$2:$B$501,"&gt;="&amp;D11,Compras_2025_2026!$B$2:$B$501,"&lt;"&amp;EDATE(D11,1))</x:f>
        <x:v>15738.19882738496</x:v>
      </x:c>
      <x:c r="F11" s="28" t="n">
        <x:f>SUMIFS(Compras_2025_2026!$O$2:$O$501,Compras_2025_2026!$B$2:$B$501,"&gt;="&amp;D11,Compras_2025_2026!$B$2:$B$501,"&lt;"&amp;EDATE(D11,1))</x:f>
        <x:v>8344</x:v>
      </x:c>
      <x:c r="G11" s="26" t="n">
        <x:f>IFERROR(AVERAGEIFS(Compras_2025_2026!$Q$2:$Q$501,Compras_2025_2026!$B$2:$B$501,"&gt;="&amp;D11,Compras_2025_2026!$B$2:$B$501,"&lt;"&amp;EDATE(D11,1)),0)</x:f>
        <x:v>0.08354095993187204</x:v>
      </x:c>
      <x:c r="H11" t="n">
        <x:f>COUNTIFS(Compras_2025_2026!$B$2:$B$501,"&gt;="&amp;D11,Compras_2025_2026!$B$2:$B$501,"&lt;"&amp;EDATE(D11,1))</x:f>
        <x:v>28</x:v>
      </x:c>
      <x:c r="J11" s="30" t="n">
        <x:v>46296</x:v>
      </x:c>
      <x:c r="K11" s="24" t="n">
        <x:f>SUMIFS(Compras_2025_2026!$T$2:$T$501,Compras_2025_2026!$B$2:$B$501,"&gt;="&amp;J11,Compras_2025_2026!$B$2:$B$501,"&lt;"&amp;EDATE(J11,1))</x:f>
        <x:v>8583.999781012295</x:v>
      </x:c>
      <x:c r="L11" s="24" t="n">
        <x:f>SUMIFS(Compras_2025_2026!$T$2:$T$501,Compras_2025_2026!$B$2:$B$501,"&gt;="&amp;EDATE(J11,-12),Compras_2025_2026!$B$2:$B$501,"&lt;"&amp;EDATE(J11,-11))</x:f>
        <x:v>15738.19882738496</x:v>
      </x:c>
      <x:c r="M11" s="24" t="n">
        <x:f>K11-L11</x:f>
        <x:v>-7154.199046372665</x:v>
      </x:c>
      <x:c r="N11" s="26" t="n">
        <x:f>IFERROR(M11/L11,0)</x:f>
        <x:v>-0.4545754647554798</x:v>
      </x:c>
    </x:row>
    <x:row r="12">
      <x:c r="D12" s="30" t="n">
        <x:v>45962</x:v>
      </x:c>
      <x:c r="E12" s="24" t="n">
        <x:f>SUMIFS(Compras_2025_2026!$T$2:$T$501,Compras_2025_2026!$B$2:$B$501,"&gt;="&amp;D12,Compras_2025_2026!$B$2:$B$501,"&lt;"&amp;EDATE(D12,1))</x:f>
        <x:v>10082.174851257292</x:v>
      </x:c>
      <x:c r="F12" s="28" t="n">
        <x:f>SUMIFS(Compras_2025_2026!$O$2:$O$501,Compras_2025_2026!$B$2:$B$501,"&gt;="&amp;D12,Compras_2025_2026!$B$2:$B$501,"&lt;"&amp;EDATE(D12,1))</x:f>
        <x:v>4660</x:v>
      </x:c>
      <x:c r="G12" s="26" t="n">
        <x:f>IFERROR(AVERAGEIFS(Compras_2025_2026!$Q$2:$Q$501,Compras_2025_2026!$B$2:$B$501,"&gt;="&amp;D12,Compras_2025_2026!$B$2:$B$501,"&lt;"&amp;EDATE(D12,1)),0)</x:f>
        <x:v>0.08719563836831332</x:v>
      </x:c>
      <x:c r="H12" t="n">
        <x:f>COUNTIFS(Compras_2025_2026!$B$2:$B$501,"&gt;="&amp;D12,Compras_2025_2026!$B$2:$B$501,"&lt;"&amp;EDATE(D12,1))</x:f>
        <x:v>20</x:v>
      </x:c>
      <x:c r="J12" s="30" t="n">
        <x:v>46327</x:v>
      </x:c>
      <x:c r="K12" s="24" t="n">
        <x:f>SUMIFS(Compras_2025_2026!$T$2:$T$501,Compras_2025_2026!$B$2:$B$501,"&gt;="&amp;J12,Compras_2025_2026!$B$2:$B$501,"&lt;"&amp;EDATE(J12,1))</x:f>
        <x:v>10844.324176593482</x:v>
      </x:c>
      <x:c r="L12" s="24" t="n">
        <x:f>SUMIFS(Compras_2025_2026!$T$2:$T$501,Compras_2025_2026!$B$2:$B$501,"&gt;="&amp;EDATE(J12,-12),Compras_2025_2026!$B$2:$B$501,"&lt;"&amp;EDATE(J12,-11))</x:f>
        <x:v>10082.174851257292</x:v>
      </x:c>
      <x:c r="M12" s="24" t="n">
        <x:f>K12-L12</x:f>
        <x:v>762.1493253361896</x:v>
      </x:c>
      <x:c r="N12" s="26" t="n">
        <x:f>IFERROR(M12/L12,0)</x:f>
        <x:v>0.07559374208245814</x:v>
      </x:c>
    </x:row>
    <x:row r="13">
      <x:c r="D13" s="30" t="n">
        <x:v>45992</x:v>
      </x:c>
      <x:c r="E13" s="24" t="n">
        <x:f>SUMIFS(Compras_2025_2026!$T$2:$T$501,Compras_2025_2026!$B$2:$B$501,"&gt;="&amp;D13,Compras_2025_2026!$B$2:$B$501,"&lt;"&amp;EDATE(D13,1))</x:f>
        <x:v>11155.885579395363</x:v>
      </x:c>
      <x:c r="F13" s="28" t="n">
        <x:f>SUMIFS(Compras_2025_2026!$O$2:$O$501,Compras_2025_2026!$B$2:$B$501,"&gt;="&amp;D13,Compras_2025_2026!$B$2:$B$501,"&lt;"&amp;EDATE(D13,1))</x:f>
        <x:v>6322</x:v>
      </x:c>
      <x:c r="G13" s="26" t="n">
        <x:f>IFERROR(AVERAGEIFS(Compras_2025_2026!$Q$2:$Q$501,Compras_2025_2026!$B$2:$B$501,"&gt;="&amp;D13,Compras_2025_2026!$B$2:$B$501,"&lt;"&amp;EDATE(D13,1)),0)</x:f>
        <x:v>0.08133271358569814</x:v>
      </x:c>
      <x:c r="H13" t="n">
        <x:f>COUNTIFS(Compras_2025_2026!$B$2:$B$501,"&gt;="&amp;D13,Compras_2025_2026!$B$2:$B$501,"&lt;"&amp;EDATE(D13,1))</x:f>
        <x:v>20</x:v>
      </x:c>
      <x:c r="J13" s="30" t="n">
        <x:v>46357</x:v>
      </x:c>
      <x:c r="K13" s="24" t="n">
        <x:f>SUMIFS(Compras_2025_2026!$T$2:$T$501,Compras_2025_2026!$B$2:$B$501,"&gt;="&amp;J13,Compras_2025_2026!$B$2:$B$501,"&lt;"&amp;EDATE(J13,1))</x:f>
        <x:v>17943.054183155822</x:v>
      </x:c>
      <x:c r="L13" s="24" t="n">
        <x:f>SUMIFS(Compras_2025_2026!$T$2:$T$501,Compras_2025_2026!$B$2:$B$501,"&gt;="&amp;EDATE(J13,-12),Compras_2025_2026!$B$2:$B$501,"&lt;"&amp;EDATE(J13,-11))</x:f>
        <x:v>11155.885579395363</x:v>
      </x:c>
      <x:c r="M13" s="24" t="n">
        <x:f>K13-L13</x:f>
        <x:v>6787.1686037604595</x:v>
      </x:c>
      <x:c r="N13" s="26" t="n">
        <x:f>IFERROR(M13/L13,0)</x:f>
        <x:v>0.6083935296267459</x:v>
      </x:c>
    </x:row>
    <x:row r="14">
      <x:c r="D14" s="30" t="n">
        <x:v>46023</x:v>
      </x:c>
      <x:c r="E14" s="24" t="n">
        <x:f>SUMIFS(Compras_2025_2026!$T$2:$T$501,Compras_2025_2026!$B$2:$B$501,"&gt;="&amp;D14,Compras_2025_2026!$B$2:$B$501,"&lt;"&amp;EDATE(D14,1))</x:f>
        <x:v>12329.332015487977</x:v>
      </x:c>
      <x:c r="F14" s="28" t="n">
        <x:f>SUMIFS(Compras_2025_2026!$O$2:$O$501,Compras_2025_2026!$B$2:$B$501,"&gt;="&amp;D14,Compras_2025_2026!$B$2:$B$501,"&lt;"&amp;EDATE(D14,1))</x:f>
        <x:v>5464</x:v>
      </x:c>
      <x:c r="G14" s="26" t="n">
        <x:f>IFERROR(AVERAGEIFS(Compras_2025_2026!$Q$2:$Q$501,Compras_2025_2026!$B$2:$B$501,"&gt;="&amp;D14,Compras_2025_2026!$B$2:$B$501,"&lt;"&amp;EDATE(D14,1)),0)</x:f>
        <x:v>0.0970409513846838</x:v>
      </x:c>
      <x:c r="H14" t="n">
        <x:f>COUNTIFS(Compras_2025_2026!$B$2:$B$501,"&gt;="&amp;D14,Compras_2025_2026!$B$2:$B$501,"&lt;"&amp;EDATE(D14,1))</x:f>
        <x:v>20</x:v>
      </x:c>
    </x:row>
    <x:row r="15">
      <x:c r="D15" s="30" t="n">
        <x:v>46054</x:v>
      </x:c>
      <x:c r="E15" s="24" t="n">
        <x:f>SUMIFS(Compras_2025_2026!$T$2:$T$501,Compras_2025_2026!$B$2:$B$501,"&gt;="&amp;D15,Compras_2025_2026!$B$2:$B$501,"&lt;"&amp;EDATE(D15,1))</x:f>
        <x:v>8262.615631409266</x:v>
      </x:c>
      <x:c r="F15" s="28" t="n">
        <x:f>SUMIFS(Compras_2025_2026!$O$2:$O$501,Compras_2025_2026!$B$2:$B$501,"&gt;="&amp;D15,Compras_2025_2026!$B$2:$B$501,"&lt;"&amp;EDATE(D15,1))</x:f>
        <x:v>4070</x:v>
      </x:c>
      <x:c r="G15" s="26" t="n">
        <x:f>IFERROR(AVERAGEIFS(Compras_2025_2026!$Q$2:$Q$501,Compras_2025_2026!$B$2:$B$501,"&gt;="&amp;D15,Compras_2025_2026!$B$2:$B$501,"&lt;"&amp;EDATE(D15,1)),0)</x:f>
        <x:v>0.09540865382271793</x:v>
      </x:c>
      <x:c r="H15" t="n">
        <x:f>COUNTIFS(Compras_2025_2026!$B$2:$B$501,"&gt;="&amp;D15,Compras_2025_2026!$B$2:$B$501,"&lt;"&amp;EDATE(D15,1))</x:f>
        <x:v>13</x:v>
      </x:c>
    </x:row>
    <x:row r="16">
      <x:c r="D16" s="30" t="n">
        <x:v>46082</x:v>
      </x:c>
      <x:c r="E16" s="24" t="n">
        <x:f>SUMIFS(Compras_2025_2026!$T$2:$T$501,Compras_2025_2026!$B$2:$B$501,"&gt;="&amp;D16,Compras_2025_2026!$B$2:$B$501,"&lt;"&amp;EDATE(D16,1))</x:f>
        <x:v>11815.584709990986</x:v>
      </x:c>
      <x:c r="F16" s="28" t="n">
        <x:f>SUMIFS(Compras_2025_2026!$O$2:$O$501,Compras_2025_2026!$B$2:$B$501,"&gt;="&amp;D16,Compras_2025_2026!$B$2:$B$501,"&lt;"&amp;EDATE(D16,1))</x:f>
        <x:v>5822</x:v>
      </x:c>
      <x:c r="G16" s="26" t="n">
        <x:f>IFERROR(AVERAGEIFS(Compras_2025_2026!$Q$2:$Q$501,Compras_2025_2026!$B$2:$B$501,"&gt;="&amp;D16,Compras_2025_2026!$B$2:$B$501,"&lt;"&amp;EDATE(D16,1)),0)</x:f>
        <x:v>0.09834096125958955</x:v>
      </x:c>
      <x:c r="H16" t="n">
        <x:f>COUNTIFS(Compras_2025_2026!$B$2:$B$501,"&gt;="&amp;D16,Compras_2025_2026!$B$2:$B$501,"&lt;"&amp;EDATE(D16,1))</x:f>
        <x:v>15</x:v>
      </x:c>
    </x:row>
    <x:row r="17">
      <x:c r="D17" s="30" t="n">
        <x:v>46113</x:v>
      </x:c>
      <x:c r="E17" s="24" t="n">
        <x:f>SUMIFS(Compras_2025_2026!$T$2:$T$501,Compras_2025_2026!$B$2:$B$501,"&gt;="&amp;D17,Compras_2025_2026!$B$2:$B$501,"&lt;"&amp;EDATE(D17,1))</x:f>
        <x:v>13065.0442089049</x:v>
      </x:c>
      <x:c r="F17" s="28" t="n">
        <x:f>SUMIFS(Compras_2025_2026!$O$2:$O$501,Compras_2025_2026!$B$2:$B$501,"&gt;="&amp;D17,Compras_2025_2026!$B$2:$B$501,"&lt;"&amp;EDATE(D17,1))</x:f>
        <x:v>6182</x:v>
      </x:c>
      <x:c r="G17" s="26" t="n">
        <x:f>IFERROR(AVERAGEIFS(Compras_2025_2026!$Q$2:$Q$501,Compras_2025_2026!$B$2:$B$501,"&gt;="&amp;D17,Compras_2025_2026!$B$2:$B$501,"&lt;"&amp;EDATE(D17,1)),0)</x:f>
        <x:v>0.09027357752352672</x:v>
      </x:c>
      <x:c r="H17" t="n">
        <x:f>COUNTIFS(Compras_2025_2026!$B$2:$B$501,"&gt;="&amp;D17,Compras_2025_2026!$B$2:$B$501,"&lt;"&amp;EDATE(D17,1))</x:f>
        <x:v>19</x:v>
      </x:c>
    </x:row>
    <x:row r="18">
      <x:c r="D18" s="30" t="n">
        <x:v>46143</x:v>
      </x:c>
      <x:c r="E18" s="24" t="n">
        <x:f>SUMIFS(Compras_2025_2026!$T$2:$T$501,Compras_2025_2026!$B$2:$B$501,"&gt;="&amp;D18,Compras_2025_2026!$B$2:$B$501,"&lt;"&amp;EDATE(D18,1))</x:f>
        <x:v>16940.969735377636</x:v>
      </x:c>
      <x:c r="F18" s="28" t="n">
        <x:f>SUMIFS(Compras_2025_2026!$O$2:$O$501,Compras_2025_2026!$B$2:$B$501,"&gt;="&amp;D18,Compras_2025_2026!$B$2:$B$501,"&lt;"&amp;EDATE(D18,1))</x:f>
        <x:v>7610</x:v>
      </x:c>
      <x:c r="G18" s="26" t="n">
        <x:f>IFERROR(AVERAGEIFS(Compras_2025_2026!$Q$2:$Q$501,Compras_2025_2026!$B$2:$B$501,"&gt;="&amp;D18,Compras_2025_2026!$B$2:$B$501,"&lt;"&amp;EDATE(D18,1)),0)</x:f>
        <x:v>0.09025969579675476</x:v>
      </x:c>
      <x:c r="H18" t="n">
        <x:f>COUNTIFS(Compras_2025_2026!$B$2:$B$501,"&gt;="&amp;D18,Compras_2025_2026!$B$2:$B$501,"&lt;"&amp;EDATE(D18,1))</x:f>
        <x:v>27</x:v>
      </x:c>
    </x:row>
    <x:row r="19">
      <x:c r="D19" s="30" t="n">
        <x:v>46174</x:v>
      </x:c>
      <x:c r="E19" s="24" t="n">
        <x:f>SUMIFS(Compras_2025_2026!$T$2:$T$501,Compras_2025_2026!$B$2:$B$501,"&gt;="&amp;D19,Compras_2025_2026!$B$2:$B$501,"&lt;"&amp;EDATE(D19,1))</x:f>
        <x:v>12339.98965070673</x:v>
      </x:c>
      <x:c r="F19" s="28" t="n">
        <x:f>SUMIFS(Compras_2025_2026!$O$2:$O$501,Compras_2025_2026!$B$2:$B$501,"&gt;="&amp;D19,Compras_2025_2026!$B$2:$B$501,"&lt;"&amp;EDATE(D19,1))</x:f>
        <x:v>5800</x:v>
      </x:c>
      <x:c r="G19" s="26" t="n">
        <x:f>IFERROR(AVERAGEIFS(Compras_2025_2026!$Q$2:$Q$501,Compras_2025_2026!$B$2:$B$501,"&gt;="&amp;D19,Compras_2025_2026!$B$2:$B$501,"&lt;"&amp;EDATE(D19,1)),0)</x:f>
        <x:v>0.07367267949323678</x:v>
      </x:c>
      <x:c r="H19" t="n">
        <x:f>COUNTIFS(Compras_2025_2026!$B$2:$B$501,"&gt;="&amp;D19,Compras_2025_2026!$B$2:$B$501,"&lt;"&amp;EDATE(D19,1))</x:f>
        <x:v>20</x:v>
      </x:c>
    </x:row>
    <x:row r="20">
      <x:c r="D20" s="30" t="n">
        <x:v>46204</x:v>
      </x:c>
      <x:c r="E20" s="24" t="n">
        <x:f>SUMIFS(Compras_2025_2026!$T$2:$T$501,Compras_2025_2026!$B$2:$B$501,"&gt;="&amp;D20,Compras_2025_2026!$B$2:$B$501,"&lt;"&amp;EDATE(D20,1))</x:f>
        <x:v>18589.87270398716</x:v>
      </x:c>
      <x:c r="F20" s="28" t="n">
        <x:f>SUMIFS(Compras_2025_2026!$O$2:$O$501,Compras_2025_2026!$B$2:$B$501,"&gt;="&amp;D20,Compras_2025_2026!$B$2:$B$501,"&lt;"&amp;EDATE(D20,1))</x:f>
        <x:v>7756</x:v>
      </x:c>
      <x:c r="G20" s="26" t="n">
        <x:f>IFERROR(AVERAGEIFS(Compras_2025_2026!$Q$2:$Q$501,Compras_2025_2026!$B$2:$B$501,"&gt;="&amp;D20,Compras_2025_2026!$B$2:$B$501,"&lt;"&amp;EDATE(D20,1)),0)</x:f>
        <x:v>0.08670228105277071</x:v>
      </x:c>
      <x:c r="H20" t="n">
        <x:f>COUNTIFS(Compras_2025_2026!$B$2:$B$501,"&gt;="&amp;D20,Compras_2025_2026!$B$2:$B$501,"&lt;"&amp;EDATE(D20,1))</x:f>
        <x:v>25</x:v>
      </x:c>
    </x:row>
    <x:row r="21">
      <x:c r="D21" s="30" t="n">
        <x:v>46235</x:v>
      </x:c>
      <x:c r="E21" s="24" t="n">
        <x:f>SUMIFS(Compras_2025_2026!$T$2:$T$501,Compras_2025_2026!$B$2:$B$501,"&gt;="&amp;D21,Compras_2025_2026!$B$2:$B$501,"&lt;"&amp;EDATE(D21,1))</x:f>
        <x:v>13683.506514394574</x:v>
      </x:c>
      <x:c r="F21" s="28" t="n">
        <x:f>SUMIFS(Compras_2025_2026!$O$2:$O$501,Compras_2025_2026!$B$2:$B$501,"&gt;="&amp;D21,Compras_2025_2026!$B$2:$B$501,"&lt;"&amp;EDATE(D21,1))</x:f>
        <x:v>7162</x:v>
      </x:c>
      <x:c r="G21" s="26" t="n">
        <x:f>IFERROR(AVERAGEIFS(Compras_2025_2026!$Q$2:$Q$501,Compras_2025_2026!$B$2:$B$501,"&gt;="&amp;D21,Compras_2025_2026!$B$2:$B$501,"&lt;"&amp;EDATE(D21,1)),0)</x:f>
        <x:v>0.0909915108155236</x:v>
      </x:c>
      <x:c r="H21" t="n">
        <x:f>COUNTIFS(Compras_2025_2026!$B$2:$B$501,"&gt;="&amp;D21,Compras_2025_2026!$B$2:$B$501,"&lt;"&amp;EDATE(D21,1))</x:f>
        <x:v>30</x:v>
      </x:c>
    </x:row>
    <x:row r="22">
      <x:c r="D22" s="30" t="n">
        <x:v>46266</x:v>
      </x:c>
      <x:c r="E22" s="24" t="n">
        <x:f>SUMIFS(Compras_2025_2026!$T$2:$T$501,Compras_2025_2026!$B$2:$B$501,"&gt;="&amp;D22,Compras_2025_2026!$B$2:$B$501,"&lt;"&amp;EDATE(D22,1))</x:f>
        <x:v>16100.005895568358</x:v>
      </x:c>
      <x:c r="F22" s="28" t="n">
        <x:f>SUMIFS(Compras_2025_2026!$O$2:$O$501,Compras_2025_2026!$B$2:$B$501,"&gt;="&amp;D22,Compras_2025_2026!$B$2:$B$501,"&lt;"&amp;EDATE(D22,1))</x:f>
        <x:v>7222</x:v>
      </x:c>
      <x:c r="G22" s="26" t="n">
        <x:f>IFERROR(AVERAGEIFS(Compras_2025_2026!$Q$2:$Q$501,Compras_2025_2026!$B$2:$B$501,"&gt;="&amp;D22,Compras_2025_2026!$B$2:$B$501,"&lt;"&amp;EDATE(D22,1)),0)</x:f>
        <x:v>0.08152477957883071</x:v>
      </x:c>
      <x:c r="H22" t="n">
        <x:f>COUNTIFS(Compras_2025_2026!$B$2:$B$501,"&gt;="&amp;D22,Compras_2025_2026!$B$2:$B$501,"&lt;"&amp;EDATE(D22,1))</x:f>
        <x:v>24</x:v>
      </x:c>
    </x:row>
    <x:row r="23">
      <x:c r="D23" s="30" t="n">
        <x:v>46296</x:v>
      </x:c>
      <x:c r="E23" s="24" t="n">
        <x:f>SUMIFS(Compras_2025_2026!$T$2:$T$501,Compras_2025_2026!$B$2:$B$501,"&gt;="&amp;D23,Compras_2025_2026!$B$2:$B$501,"&lt;"&amp;EDATE(D23,1))</x:f>
        <x:v>8583.999781012295</x:v>
      </x:c>
      <x:c r="F23" s="28" t="n">
        <x:f>SUMIFS(Compras_2025_2026!$O$2:$O$501,Compras_2025_2026!$B$2:$B$501,"&gt;="&amp;D23,Compras_2025_2026!$B$2:$B$501,"&lt;"&amp;EDATE(D23,1))</x:f>
        <x:v>3926</x:v>
      </x:c>
      <x:c r="G23" s="26" t="n">
        <x:f>IFERROR(AVERAGEIFS(Compras_2025_2026!$Q$2:$Q$501,Compras_2025_2026!$B$2:$B$501,"&gt;="&amp;D23,Compras_2025_2026!$B$2:$B$501,"&lt;"&amp;EDATE(D23,1)),0)</x:f>
        <x:v>0.08028193442488174</x:v>
      </x:c>
      <x:c r="H23" t="n">
        <x:f>COUNTIFS(Compras_2025_2026!$B$2:$B$501,"&gt;="&amp;D23,Compras_2025_2026!$B$2:$B$501,"&lt;"&amp;EDATE(D23,1))</x:f>
        <x:v>14</x:v>
      </x:c>
    </x:row>
    <x:row r="24">
      <x:c r="D24" s="30" t="n">
        <x:v>46327</x:v>
      </x:c>
      <x:c r="E24" s="24" t="n">
        <x:f>SUMIFS(Compras_2025_2026!$T$2:$T$501,Compras_2025_2026!$B$2:$B$501,"&gt;="&amp;D24,Compras_2025_2026!$B$2:$B$501,"&lt;"&amp;EDATE(D24,1))</x:f>
        <x:v>10844.324176593482</x:v>
      </x:c>
      <x:c r="F24" s="28" t="n">
        <x:f>SUMIFS(Compras_2025_2026!$O$2:$O$501,Compras_2025_2026!$B$2:$B$501,"&gt;="&amp;D24,Compras_2025_2026!$B$2:$B$501,"&lt;"&amp;EDATE(D24,1))</x:f>
        <x:v>5522</x:v>
      </x:c>
      <x:c r="G24" s="26" t="n">
        <x:f>IFERROR(AVERAGEIFS(Compras_2025_2026!$Q$2:$Q$501,Compras_2025_2026!$B$2:$B$501,"&gt;="&amp;D24,Compras_2025_2026!$B$2:$B$501,"&lt;"&amp;EDATE(D24,1)),0)</x:f>
        <x:v>0.09465219684350262</x:v>
      </x:c>
      <x:c r="H24" t="n">
        <x:f>COUNTIFS(Compras_2025_2026!$B$2:$B$501,"&gt;="&amp;D24,Compras_2025_2026!$B$2:$B$501,"&lt;"&amp;EDATE(D24,1))</x:f>
        <x:v>21</x:v>
      </x:c>
    </x:row>
    <x:row r="25">
      <x:c r="D25" s="30" t="n">
        <x:v>46357</x:v>
      </x:c>
      <x:c r="E25" s="24" t="n">
        <x:f>SUMIFS(Compras_2025_2026!$T$2:$T$501,Compras_2025_2026!$B$2:$B$501,"&gt;="&amp;D25,Compras_2025_2026!$B$2:$B$501,"&lt;"&amp;EDATE(D25,1))</x:f>
        <x:v>17943.054183155822</x:v>
      </x:c>
      <x:c r="F25" s="28" t="n">
        <x:f>SUMIFS(Compras_2025_2026!$O$2:$O$501,Compras_2025_2026!$B$2:$B$501,"&gt;="&amp;D25,Compras_2025_2026!$B$2:$B$501,"&lt;"&amp;EDATE(D25,1))</x:f>
        <x:v>8852</x:v>
      </x:c>
      <x:c r="G25" s="26" t="n">
        <x:f>IFERROR(AVERAGEIFS(Compras_2025_2026!$Q$2:$Q$501,Compras_2025_2026!$B$2:$B$501,"&gt;="&amp;D25,Compras_2025_2026!$B$2:$B$501,"&lt;"&amp;EDATE(D25,1)),0)</x:f>
        <x:v>0.08833599813227457</x:v>
      </x:c>
      <x:c r="H25" t="n">
        <x:f>COUNTIFS(Compras_2025_2026!$B$2:$B$501,"&gt;="&amp;D25,Compras_2025_2026!$B$2:$B$501,"&lt;"&amp;EDATE(D25,1))</x:f>
        <x:v>24</x:v>
      </x:c>
    </x:row>
  </x:sheetData>
  <x:conditionalFormatting sqref="N2:N13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1df1300e188142d2"/>
  <x:tableParts count="2">
    <x:tablePart xmlns:r="http://schemas.openxmlformats.org/officeDocument/2006/relationships" r:id="R3d458317c99745e4"/>
    <x:tablePart xmlns:r="http://schemas.openxmlformats.org/officeDocument/2006/relationships" r:id="Rdfc4e1a505b34745"/>
  </x:tableParts>
</x:worksheet>
</file>